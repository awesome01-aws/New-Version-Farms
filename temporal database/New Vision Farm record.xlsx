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HP\Downloads\"/>
    </mc:Choice>
  </mc:AlternateContent>
  <bookViews>
    <workbookView xWindow="0" yWindow="0" windowWidth="15345" windowHeight="4545" activeTab="1"/>
  </bookViews>
  <sheets>
    <sheet name="Poultry" sheetId="1" r:id="rId1"/>
    <sheet name="current stock" sheetId="3" r:id="rId2"/>
    <sheet name="Turkeys" sheetId="2" r:id="rId3"/>
  </sheets>
  <calcPr calcId="162913"/>
</workbook>
</file>

<file path=xl/calcChain.xml><?xml version="1.0" encoding="utf-8"?>
<calcChain xmlns="http://schemas.openxmlformats.org/spreadsheetml/2006/main">
  <c r="L5" i="3" l="1"/>
  <c r="E6" i="3"/>
  <c r="C6" i="3"/>
  <c r="G5" i="3"/>
  <c r="B201" i="3"/>
  <c r="D201" i="3"/>
  <c r="B300" i="2"/>
  <c r="Y116" i="2"/>
  <c r="Y115" i="2"/>
  <c r="Y114" i="2"/>
  <c r="Z109" i="2"/>
  <c r="Y109" i="2"/>
  <c r="V109" i="2"/>
  <c r="U109" i="2"/>
  <c r="S109" i="2"/>
  <c r="Q109" i="2"/>
  <c r="N109" i="2"/>
  <c r="I109" i="2"/>
  <c r="H109" i="2"/>
  <c r="G109" i="2"/>
  <c r="F109" i="2"/>
  <c r="E109" i="2"/>
  <c r="E300" i="2" s="1"/>
  <c r="D109" i="2"/>
  <c r="D300" i="2" s="1"/>
  <c r="C109" i="2"/>
  <c r="AA5" i="2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W4" i="2"/>
  <c r="W5" i="2" s="1"/>
  <c r="W6" i="2" s="1"/>
  <c r="W7" i="2" s="1"/>
  <c r="W8" i="2" s="1"/>
  <c r="P4" i="2"/>
  <c r="U109" i="1"/>
  <c r="V109" i="1"/>
  <c r="Y109" i="1"/>
  <c r="Z109" i="1"/>
  <c r="Y116" i="1"/>
  <c r="Y115" i="1"/>
  <c r="Y114" i="1"/>
  <c r="X4" i="2" l="1"/>
  <c r="G6" i="3"/>
  <c r="E201" i="3"/>
  <c r="W9" i="2"/>
  <c r="T109" i="2"/>
  <c r="R109" i="2"/>
  <c r="P5" i="2"/>
  <c r="P5" i="1"/>
  <c r="P4" i="1"/>
  <c r="AA5" i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E109" i="1"/>
  <c r="F109" i="1"/>
  <c r="G109" i="1"/>
  <c r="C109" i="1"/>
  <c r="D109" i="1"/>
  <c r="Q109" i="1"/>
  <c r="S109" i="1"/>
  <c r="W4" i="1"/>
  <c r="W5" i="1" s="1"/>
  <c r="W6" i="1" s="1"/>
  <c r="W7" i="1" l="1"/>
  <c r="X5" i="1"/>
  <c r="X4" i="1"/>
  <c r="P6" i="2"/>
  <c r="X5" i="2"/>
  <c r="W10" i="2"/>
  <c r="T95" i="1"/>
  <c r="W8" i="1" l="1"/>
  <c r="P7" i="2"/>
  <c r="X6" i="2"/>
  <c r="W11" i="2"/>
  <c r="P6" i="1"/>
  <c r="N83" i="1"/>
  <c r="P7" i="1" l="1"/>
  <c r="X6" i="1"/>
  <c r="W9" i="1"/>
  <c r="P8" i="2"/>
  <c r="X7" i="2"/>
  <c r="W12" i="2"/>
  <c r="T74" i="1"/>
  <c r="W10" i="1" l="1"/>
  <c r="P8" i="1"/>
  <c r="X7" i="1"/>
  <c r="P9" i="2"/>
  <c r="X8" i="2"/>
  <c r="W13" i="2"/>
  <c r="R63" i="1"/>
  <c r="P9" i="1" l="1"/>
  <c r="X8" i="1"/>
  <c r="W11" i="1"/>
  <c r="P10" i="2"/>
  <c r="X9" i="2"/>
  <c r="W14" i="2"/>
  <c r="R62" i="1"/>
  <c r="W12" i="1" l="1"/>
  <c r="P10" i="1"/>
  <c r="X9" i="1"/>
  <c r="W15" i="2"/>
  <c r="P11" i="2"/>
  <c r="X10" i="2"/>
  <c r="R17" i="1"/>
  <c r="R41" i="1"/>
  <c r="K22" i="1"/>
  <c r="T49" i="1"/>
  <c r="P11" i="1" l="1"/>
  <c r="X10" i="1"/>
  <c r="W13" i="1"/>
  <c r="W16" i="2"/>
  <c r="P12" i="2"/>
  <c r="X11" i="2"/>
  <c r="R109" i="1"/>
  <c r="T40" i="1"/>
  <c r="T109" i="1" s="1"/>
  <c r="W14" i="1" l="1"/>
  <c r="P12" i="1"/>
  <c r="X11" i="1"/>
  <c r="W17" i="2"/>
  <c r="P13" i="2"/>
  <c r="X12" i="2"/>
  <c r="P13" i="1" l="1"/>
  <c r="X12" i="1"/>
  <c r="W15" i="1"/>
  <c r="W18" i="2"/>
  <c r="P14" i="2"/>
  <c r="X13" i="2"/>
  <c r="N109" i="1"/>
  <c r="D300" i="1"/>
  <c r="B300" i="1"/>
  <c r="K109" i="1"/>
  <c r="I109" i="1"/>
  <c r="H109" i="1"/>
  <c r="W16" i="1" l="1"/>
  <c r="P14" i="1"/>
  <c r="X13" i="1"/>
  <c r="W19" i="2"/>
  <c r="P15" i="2"/>
  <c r="X14" i="2"/>
  <c r="E300" i="1"/>
  <c r="P15" i="1" l="1"/>
  <c r="X14" i="1"/>
  <c r="W17" i="1"/>
  <c r="W20" i="2"/>
  <c r="P16" i="2"/>
  <c r="X15" i="2"/>
  <c r="W18" i="1" l="1"/>
  <c r="P16" i="1"/>
  <c r="X15" i="1"/>
  <c r="W21" i="2"/>
  <c r="P17" i="2"/>
  <c r="X16" i="2"/>
  <c r="P17" i="1" l="1"/>
  <c r="X16" i="1"/>
  <c r="W19" i="1"/>
  <c r="W22" i="2"/>
  <c r="P18" i="2"/>
  <c r="X17" i="2"/>
  <c r="W20" i="1" l="1"/>
  <c r="P18" i="1"/>
  <c r="X17" i="1"/>
  <c r="W23" i="2"/>
  <c r="P19" i="2"/>
  <c r="X18" i="2"/>
  <c r="P19" i="1" l="1"/>
  <c r="X18" i="1"/>
  <c r="W21" i="1"/>
  <c r="P20" i="2"/>
  <c r="X19" i="2"/>
  <c r="W24" i="2"/>
  <c r="W22" i="1" l="1"/>
  <c r="P20" i="1"/>
  <c r="X19" i="1"/>
  <c r="W25" i="2"/>
  <c r="P21" i="2"/>
  <c r="X20" i="2"/>
  <c r="P21" i="1" l="1"/>
  <c r="X20" i="1"/>
  <c r="W23" i="1"/>
  <c r="W26" i="2"/>
  <c r="P22" i="2"/>
  <c r="X21" i="2"/>
  <c r="W24" i="1" l="1"/>
  <c r="P22" i="1"/>
  <c r="X21" i="1"/>
  <c r="W27" i="2"/>
  <c r="P23" i="2"/>
  <c r="X22" i="2"/>
  <c r="P23" i="1" l="1"/>
  <c r="X22" i="1"/>
  <c r="W25" i="1"/>
  <c r="W28" i="2"/>
  <c r="P24" i="2"/>
  <c r="X23" i="2"/>
  <c r="W26" i="1" l="1"/>
  <c r="P24" i="1"/>
  <c r="X23" i="1"/>
  <c r="W29" i="2"/>
  <c r="P25" i="2"/>
  <c r="X24" i="2"/>
  <c r="P25" i="1" l="1"/>
  <c r="X24" i="1"/>
  <c r="W27" i="1"/>
  <c r="W30" i="2"/>
  <c r="P26" i="2"/>
  <c r="X25" i="2"/>
  <c r="W28" i="1" l="1"/>
  <c r="P26" i="1"/>
  <c r="X25" i="1"/>
  <c r="P27" i="2"/>
  <c r="X26" i="2"/>
  <c r="W31" i="2"/>
  <c r="P27" i="1" l="1"/>
  <c r="X26" i="1"/>
  <c r="W29" i="1"/>
  <c r="P28" i="2"/>
  <c r="X27" i="2"/>
  <c r="W32" i="2"/>
  <c r="W30" i="1" l="1"/>
  <c r="P28" i="1"/>
  <c r="X27" i="1"/>
  <c r="P29" i="2"/>
  <c r="X28" i="2"/>
  <c r="W33" i="2"/>
  <c r="P29" i="1" l="1"/>
  <c r="X28" i="1"/>
  <c r="W31" i="1"/>
  <c r="P30" i="2"/>
  <c r="X29" i="2"/>
  <c r="W34" i="2"/>
  <c r="W32" i="1" l="1"/>
  <c r="P30" i="1"/>
  <c r="X29" i="1"/>
  <c r="P31" i="2"/>
  <c r="X30" i="2"/>
  <c r="W35" i="2"/>
  <c r="P31" i="1" l="1"/>
  <c r="X30" i="1"/>
  <c r="W33" i="1"/>
  <c r="P32" i="2"/>
  <c r="X31" i="2"/>
  <c r="W36" i="2"/>
  <c r="W34" i="1" l="1"/>
  <c r="P32" i="1"/>
  <c r="X31" i="1"/>
  <c r="W37" i="2"/>
  <c r="P33" i="2"/>
  <c r="X32" i="2"/>
  <c r="P33" i="1" l="1"/>
  <c r="X32" i="1"/>
  <c r="W35" i="1"/>
  <c r="P34" i="2"/>
  <c r="X33" i="2"/>
  <c r="W38" i="2"/>
  <c r="W36" i="1" l="1"/>
  <c r="P34" i="1"/>
  <c r="X33" i="1"/>
  <c r="W39" i="2"/>
  <c r="P35" i="2"/>
  <c r="X34" i="2"/>
  <c r="P35" i="1" l="1"/>
  <c r="X34" i="1"/>
  <c r="W37" i="1"/>
  <c r="P36" i="2"/>
  <c r="X35" i="2"/>
  <c r="W40" i="2"/>
  <c r="W38" i="1" l="1"/>
  <c r="P36" i="1"/>
  <c r="X35" i="1"/>
  <c r="W41" i="2"/>
  <c r="P37" i="2"/>
  <c r="X36" i="2"/>
  <c r="P37" i="1" l="1"/>
  <c r="X36" i="1"/>
  <c r="W39" i="1"/>
  <c r="P38" i="2"/>
  <c r="X37" i="2"/>
  <c r="W42" i="2"/>
  <c r="W40" i="1" l="1"/>
  <c r="P38" i="1"/>
  <c r="X37" i="1"/>
  <c r="W43" i="2"/>
  <c r="P39" i="2"/>
  <c r="X38" i="2"/>
  <c r="P39" i="1" l="1"/>
  <c r="X38" i="1"/>
  <c r="W41" i="1"/>
  <c r="P40" i="2"/>
  <c r="X39" i="2"/>
  <c r="W44" i="2"/>
  <c r="W42" i="1" l="1"/>
  <c r="P40" i="1"/>
  <c r="X39" i="1"/>
  <c r="W45" i="2"/>
  <c r="P41" i="2"/>
  <c r="X40" i="2"/>
  <c r="P41" i="1" l="1"/>
  <c r="X40" i="1"/>
  <c r="W43" i="1"/>
  <c r="P42" i="2"/>
  <c r="X41" i="2"/>
  <c r="W46" i="2"/>
  <c r="W44" i="1" l="1"/>
  <c r="P42" i="1"/>
  <c r="X41" i="1"/>
  <c r="W47" i="2"/>
  <c r="P43" i="2"/>
  <c r="X42" i="2"/>
  <c r="P43" i="1" l="1"/>
  <c r="X42" i="1"/>
  <c r="W45" i="1"/>
  <c r="W48" i="2"/>
  <c r="P44" i="2"/>
  <c r="X43" i="2"/>
  <c r="W46" i="1" l="1"/>
  <c r="P44" i="1"/>
  <c r="X43" i="1"/>
  <c r="W49" i="2"/>
  <c r="P45" i="2"/>
  <c r="X44" i="2"/>
  <c r="P45" i="1" l="1"/>
  <c r="X44" i="1"/>
  <c r="W47" i="1"/>
  <c r="P46" i="2"/>
  <c r="X45" i="2"/>
  <c r="W50" i="2"/>
  <c r="W48" i="1" l="1"/>
  <c r="P46" i="1"/>
  <c r="X45" i="1"/>
  <c r="P47" i="2"/>
  <c r="X46" i="2"/>
  <c r="W51" i="2"/>
  <c r="P47" i="1" l="1"/>
  <c r="X46" i="1"/>
  <c r="W49" i="1"/>
  <c r="W52" i="2"/>
  <c r="P48" i="2"/>
  <c r="X47" i="2"/>
  <c r="W50" i="1" l="1"/>
  <c r="P48" i="1"/>
  <c r="X47" i="1"/>
  <c r="P49" i="2"/>
  <c r="X48" i="2"/>
  <c r="W53" i="2"/>
  <c r="P49" i="1" l="1"/>
  <c r="X48" i="1"/>
  <c r="W51" i="1"/>
  <c r="W54" i="2"/>
  <c r="P50" i="2"/>
  <c r="X49" i="2"/>
  <c r="W52" i="1" l="1"/>
  <c r="P50" i="1"/>
  <c r="X49" i="1"/>
  <c r="P51" i="2"/>
  <c r="X50" i="2"/>
  <c r="W55" i="2"/>
  <c r="P51" i="1" l="1"/>
  <c r="X50" i="1"/>
  <c r="W53" i="1"/>
  <c r="W56" i="2"/>
  <c r="P52" i="2"/>
  <c r="X51" i="2"/>
  <c r="W54" i="1" l="1"/>
  <c r="P52" i="1"/>
  <c r="X51" i="1"/>
  <c r="W57" i="2"/>
  <c r="P53" i="2"/>
  <c r="X52" i="2"/>
  <c r="P53" i="1" l="1"/>
  <c r="X52" i="1"/>
  <c r="W55" i="1"/>
  <c r="P54" i="2"/>
  <c r="X53" i="2"/>
  <c r="W58" i="2"/>
  <c r="W56" i="1" l="1"/>
  <c r="P54" i="1"/>
  <c r="X53" i="1"/>
  <c r="W59" i="2"/>
  <c r="P55" i="2"/>
  <c r="X54" i="2"/>
  <c r="P55" i="1" l="1"/>
  <c r="X54" i="1"/>
  <c r="W57" i="1"/>
  <c r="W60" i="2"/>
  <c r="P56" i="2"/>
  <c r="X55" i="2"/>
  <c r="W58" i="1" l="1"/>
  <c r="P56" i="1"/>
  <c r="X55" i="1"/>
  <c r="W61" i="2"/>
  <c r="P57" i="2"/>
  <c r="X56" i="2"/>
  <c r="P57" i="1" l="1"/>
  <c r="X56" i="1"/>
  <c r="W59" i="1"/>
  <c r="P58" i="2"/>
  <c r="X57" i="2"/>
  <c r="W62" i="2"/>
  <c r="W60" i="1" l="1"/>
  <c r="P58" i="1"/>
  <c r="X57" i="1"/>
  <c r="P59" i="2"/>
  <c r="X58" i="2"/>
  <c r="W63" i="2"/>
  <c r="P59" i="1" l="1"/>
  <c r="X58" i="1"/>
  <c r="W61" i="1"/>
  <c r="P60" i="2"/>
  <c r="X59" i="2"/>
  <c r="W64" i="2"/>
  <c r="W62" i="1" l="1"/>
  <c r="P60" i="1"/>
  <c r="X59" i="1"/>
  <c r="W65" i="2"/>
  <c r="P61" i="2"/>
  <c r="X60" i="2"/>
  <c r="P61" i="1" l="1"/>
  <c r="X60" i="1"/>
  <c r="W63" i="1"/>
  <c r="W66" i="2"/>
  <c r="P62" i="2"/>
  <c r="X61" i="2"/>
  <c r="W64" i="1" l="1"/>
  <c r="P62" i="1"/>
  <c r="X61" i="1"/>
  <c r="W67" i="2"/>
  <c r="P63" i="2"/>
  <c r="X62" i="2"/>
  <c r="P63" i="1" l="1"/>
  <c r="X62" i="1"/>
  <c r="W65" i="1"/>
  <c r="P64" i="2"/>
  <c r="X63" i="2"/>
  <c r="W68" i="2"/>
  <c r="W66" i="1" l="1"/>
  <c r="P64" i="1"/>
  <c r="X63" i="1"/>
  <c r="W69" i="2"/>
  <c r="P65" i="2"/>
  <c r="X64" i="2"/>
  <c r="P65" i="1" l="1"/>
  <c r="X64" i="1"/>
  <c r="W67" i="1"/>
  <c r="P66" i="2"/>
  <c r="X65" i="2"/>
  <c r="W70" i="2"/>
  <c r="W68" i="1" l="1"/>
  <c r="P66" i="1"/>
  <c r="X65" i="1"/>
  <c r="W71" i="2"/>
  <c r="P67" i="2"/>
  <c r="X66" i="2"/>
  <c r="P67" i="1" l="1"/>
  <c r="X66" i="1"/>
  <c r="W69" i="1"/>
  <c r="P68" i="2"/>
  <c r="X67" i="2"/>
  <c r="W72" i="2"/>
  <c r="W70" i="1" l="1"/>
  <c r="P68" i="1"/>
  <c r="X67" i="1"/>
  <c r="W73" i="2"/>
  <c r="P69" i="2"/>
  <c r="X68" i="2"/>
  <c r="P69" i="1" l="1"/>
  <c r="X68" i="1"/>
  <c r="W71" i="1"/>
  <c r="W74" i="2"/>
  <c r="P70" i="2"/>
  <c r="X69" i="2"/>
  <c r="W72" i="1" l="1"/>
  <c r="P70" i="1"/>
  <c r="X69" i="1"/>
  <c r="W75" i="2"/>
  <c r="P71" i="2"/>
  <c r="X70" i="2"/>
  <c r="P71" i="1" l="1"/>
  <c r="X70" i="1"/>
  <c r="W73" i="1"/>
  <c r="P72" i="2"/>
  <c r="X71" i="2"/>
  <c r="W76" i="2"/>
  <c r="W74" i="1" l="1"/>
  <c r="P72" i="1"/>
  <c r="X71" i="1"/>
  <c r="W77" i="2"/>
  <c r="P73" i="2"/>
  <c r="X72" i="2"/>
  <c r="P73" i="1" l="1"/>
  <c r="X72" i="1"/>
  <c r="W75" i="1"/>
  <c r="P74" i="2"/>
  <c r="X73" i="2"/>
  <c r="W78" i="2"/>
  <c r="W76" i="1" l="1"/>
  <c r="P74" i="1"/>
  <c r="X73" i="1"/>
  <c r="W79" i="2"/>
  <c r="P75" i="2"/>
  <c r="X74" i="2"/>
  <c r="P75" i="1" l="1"/>
  <c r="X74" i="1"/>
  <c r="W77" i="1"/>
  <c r="P76" i="2"/>
  <c r="X75" i="2"/>
  <c r="W80" i="2"/>
  <c r="W78" i="1" l="1"/>
  <c r="P76" i="1"/>
  <c r="X75" i="1"/>
  <c r="W81" i="2"/>
  <c r="P77" i="2"/>
  <c r="X76" i="2"/>
  <c r="P77" i="1" l="1"/>
  <c r="X76" i="1"/>
  <c r="W79" i="1"/>
  <c r="P78" i="2"/>
  <c r="X77" i="2"/>
  <c r="W82" i="2"/>
  <c r="W80" i="1" l="1"/>
  <c r="P78" i="1"/>
  <c r="X77" i="1"/>
  <c r="W83" i="2"/>
  <c r="P79" i="2"/>
  <c r="X78" i="2"/>
  <c r="P79" i="1" l="1"/>
  <c r="X78" i="1"/>
  <c r="W81" i="1"/>
  <c r="P80" i="2"/>
  <c r="X79" i="2"/>
  <c r="W84" i="2"/>
  <c r="W82" i="1" l="1"/>
  <c r="P80" i="1"/>
  <c r="X79" i="1"/>
  <c r="W85" i="2"/>
  <c r="P81" i="2"/>
  <c r="X80" i="2"/>
  <c r="P81" i="1" l="1"/>
  <c r="X80" i="1"/>
  <c r="W83" i="1"/>
  <c r="P82" i="2"/>
  <c r="X81" i="2"/>
  <c r="W86" i="2"/>
  <c r="W84" i="1" l="1"/>
  <c r="P82" i="1"/>
  <c r="X81" i="1"/>
  <c r="W87" i="2"/>
  <c r="P83" i="2"/>
  <c r="X82" i="2"/>
  <c r="P83" i="1" l="1"/>
  <c r="X82" i="1"/>
  <c r="W85" i="1"/>
  <c r="P84" i="2"/>
  <c r="X83" i="2"/>
  <c r="W88" i="2"/>
  <c r="W86" i="1" l="1"/>
  <c r="P84" i="1"/>
  <c r="X83" i="1"/>
  <c r="W89" i="2"/>
  <c r="P85" i="2"/>
  <c r="X84" i="2"/>
  <c r="P85" i="1" l="1"/>
  <c r="X84" i="1"/>
  <c r="W87" i="1"/>
  <c r="P86" i="2"/>
  <c r="X85" i="2"/>
  <c r="W90" i="2"/>
  <c r="W88" i="1" l="1"/>
  <c r="P86" i="1"/>
  <c r="X85" i="1"/>
  <c r="W91" i="2"/>
  <c r="P87" i="2"/>
  <c r="X86" i="2"/>
  <c r="P87" i="1" l="1"/>
  <c r="X86" i="1"/>
  <c r="W89" i="1"/>
  <c r="P88" i="2"/>
  <c r="X87" i="2"/>
  <c r="W92" i="2"/>
  <c r="W90" i="1" l="1"/>
  <c r="P88" i="1"/>
  <c r="X87" i="1"/>
  <c r="W93" i="2"/>
  <c r="P89" i="2"/>
  <c r="X88" i="2"/>
  <c r="P89" i="1" l="1"/>
  <c r="X88" i="1"/>
  <c r="W91" i="1"/>
  <c r="P90" i="2"/>
  <c r="X89" i="2"/>
  <c r="W94" i="2"/>
  <c r="W92" i="1" l="1"/>
  <c r="P90" i="1"/>
  <c r="X89" i="1"/>
  <c r="W95" i="2"/>
  <c r="P91" i="2"/>
  <c r="X90" i="2"/>
  <c r="P91" i="1" l="1"/>
  <c r="X90" i="1"/>
  <c r="W93" i="1"/>
  <c r="P92" i="2"/>
  <c r="X91" i="2"/>
  <c r="W96" i="2"/>
  <c r="W94" i="1" l="1"/>
  <c r="P92" i="1"/>
  <c r="X91" i="1"/>
  <c r="W97" i="2"/>
  <c r="P93" i="2"/>
  <c r="X92" i="2"/>
  <c r="P93" i="1" l="1"/>
  <c r="X92" i="1"/>
  <c r="W95" i="1"/>
  <c r="P94" i="2"/>
  <c r="X93" i="2"/>
  <c r="W98" i="2"/>
  <c r="W96" i="1" l="1"/>
  <c r="P94" i="1"/>
  <c r="X93" i="1"/>
  <c r="W99" i="2"/>
  <c r="P95" i="2"/>
  <c r="X94" i="2"/>
  <c r="P95" i="1" l="1"/>
  <c r="X94" i="1"/>
  <c r="W97" i="1"/>
  <c r="P96" i="2"/>
  <c r="X95" i="2"/>
  <c r="W100" i="2"/>
  <c r="W98" i="1" l="1"/>
  <c r="P96" i="1"/>
  <c r="X95" i="1"/>
  <c r="W101" i="2"/>
  <c r="P97" i="2"/>
  <c r="X96" i="2"/>
  <c r="P97" i="1" l="1"/>
  <c r="X96" i="1"/>
  <c r="W99" i="1"/>
  <c r="P98" i="2"/>
  <c r="X97" i="2"/>
  <c r="W102" i="2"/>
  <c r="W100" i="1" l="1"/>
  <c r="P98" i="1"/>
  <c r="X97" i="1"/>
  <c r="W103" i="2"/>
  <c r="P99" i="2"/>
  <c r="X98" i="2"/>
  <c r="P99" i="1" l="1"/>
  <c r="X98" i="1"/>
  <c r="W101" i="1"/>
  <c r="P100" i="2"/>
  <c r="X99" i="2"/>
  <c r="W104" i="2"/>
  <c r="W102" i="1" l="1"/>
  <c r="P100" i="1"/>
  <c r="X99" i="1"/>
  <c r="W105" i="2"/>
  <c r="P101" i="2"/>
  <c r="X100" i="2"/>
  <c r="P101" i="1" l="1"/>
  <c r="X100" i="1"/>
  <c r="W103" i="1"/>
  <c r="W106" i="2"/>
  <c r="P102" i="2"/>
  <c r="X101" i="2"/>
  <c r="W104" i="1" l="1"/>
  <c r="P102" i="1"/>
  <c r="X101" i="1"/>
  <c r="P103" i="2"/>
  <c r="X102" i="2"/>
  <c r="W107" i="2"/>
  <c r="P103" i="1" l="1"/>
  <c r="X102" i="1"/>
  <c r="W105" i="1"/>
  <c r="W108" i="2"/>
  <c r="P104" i="2"/>
  <c r="X103" i="2"/>
  <c r="W106" i="1" l="1"/>
  <c r="P104" i="1"/>
  <c r="X103" i="1"/>
  <c r="P105" i="2"/>
  <c r="X104" i="2"/>
  <c r="P105" i="1" l="1"/>
  <c r="X104" i="1"/>
  <c r="W107" i="1"/>
  <c r="P106" i="2"/>
  <c r="X105" i="2"/>
  <c r="W108" i="1" l="1"/>
  <c r="P106" i="1"/>
  <c r="X105" i="1"/>
  <c r="P107" i="2"/>
  <c r="X106" i="2"/>
  <c r="P107" i="1" l="1"/>
  <c r="X106" i="1"/>
  <c r="P108" i="2"/>
  <c r="X108" i="2" s="1"/>
  <c r="X109" i="2" s="1"/>
  <c r="X107" i="2"/>
  <c r="P108" i="1" l="1"/>
  <c r="X108" i="1" s="1"/>
  <c r="X109" i="1" s="1"/>
  <c r="X107" i="1"/>
</calcChain>
</file>

<file path=xl/sharedStrings.xml><?xml version="1.0" encoding="utf-8"?>
<sst xmlns="http://schemas.openxmlformats.org/spreadsheetml/2006/main" count="185" uniqueCount="68">
  <si>
    <t>Day</t>
  </si>
  <si>
    <t>Date</t>
  </si>
  <si>
    <t>Eggs</t>
  </si>
  <si>
    <t>Cumm</t>
  </si>
  <si>
    <t>Chickens collected</t>
  </si>
  <si>
    <t>Hatchery</t>
  </si>
  <si>
    <t>cost of</t>
  </si>
  <si>
    <t>Feed</t>
  </si>
  <si>
    <t>Net bal</t>
  </si>
  <si>
    <t>Bl stock</t>
  </si>
  <si>
    <t>Chicks #</t>
  </si>
  <si>
    <t>Cum. chicks</t>
  </si>
  <si>
    <t>rate( %)</t>
  </si>
  <si>
    <t>birds</t>
  </si>
  <si>
    <t>Amount</t>
  </si>
  <si>
    <t># birds</t>
  </si>
  <si>
    <t>Am't</t>
  </si>
  <si>
    <t>Total</t>
  </si>
  <si>
    <t>of birds</t>
  </si>
  <si>
    <t xml:space="preserve"> </t>
  </si>
  <si>
    <t>int pd, 9/6</t>
  </si>
  <si>
    <t xml:space="preserve">pd 10600, 9/6 </t>
  </si>
  <si>
    <t>pd 1500, 9/6</t>
  </si>
  <si>
    <t>pd 9/6</t>
  </si>
  <si>
    <t>collected</t>
  </si>
  <si>
    <t>incubated</t>
  </si>
  <si>
    <t>EXPENDITURES</t>
  </si>
  <si>
    <t>Bags</t>
  </si>
  <si>
    <t># eggs</t>
  </si>
  <si>
    <t>Manure</t>
  </si>
  <si>
    <t>expenses</t>
  </si>
  <si>
    <t>Saw dust</t>
  </si>
  <si>
    <t>Drugs</t>
  </si>
  <si>
    <t>INCOME FROM SALES</t>
  </si>
  <si>
    <t>Birds</t>
  </si>
  <si>
    <t>Others</t>
  </si>
  <si>
    <t xml:space="preserve">Total </t>
  </si>
  <si>
    <t>Income</t>
  </si>
  <si>
    <t>Tue</t>
  </si>
  <si>
    <t>Sat</t>
  </si>
  <si>
    <t xml:space="preserve">Sat </t>
  </si>
  <si>
    <t>Mon</t>
  </si>
  <si>
    <t>Fri</t>
  </si>
  <si>
    <t>Th</t>
  </si>
  <si>
    <t>Wed</t>
  </si>
  <si>
    <t>Thu</t>
  </si>
  <si>
    <t>Cumm.</t>
  </si>
  <si>
    <t>Sun</t>
  </si>
  <si>
    <t>Mortality</t>
  </si>
  <si>
    <t xml:space="preserve">birds </t>
  </si>
  <si>
    <t>eaten</t>
  </si>
  <si>
    <t>given out/</t>
  </si>
  <si>
    <t>Starters</t>
  </si>
  <si>
    <t>Growers</t>
  </si>
  <si>
    <t>0 - 8 wks</t>
  </si>
  <si>
    <t>2 - 6 months</t>
  </si>
  <si>
    <t>Cocks</t>
  </si>
  <si>
    <t>Hens</t>
  </si>
  <si>
    <t>Mature birds/Layers(6months +)</t>
  </si>
  <si>
    <t>SSTOCK OF BIRDS AT NEW VISION FARM AS AT:</t>
  </si>
  <si>
    <t>BRAHMA CHICKEN</t>
  </si>
  <si>
    <t>Young poults</t>
  </si>
  <si>
    <t>2 - 6months)</t>
  </si>
  <si>
    <t>Mature</t>
  </si>
  <si>
    <t>Males</t>
  </si>
  <si>
    <t>Females</t>
  </si>
  <si>
    <t>TURKEYS</t>
  </si>
  <si>
    <t>(0 - 8weeks)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</si>
</sst>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;@"/>
    <numFmt numFmtId="167" formatCode="_-* #,##0_-;\-* #,##0_-;_-* &quot;-&quot;??_-;_-@_-"/>
    <numFmt numFmtId="168" formatCode="_(* #,##0.0_);_(* \(#,##0.0\);_(* &quot;-&quot;??_);_(@_)"/>
  </numFmts>
  <fonts count="7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b/>
      <sz val="16"/>
      <name val="Arial Narrow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8" xfId="0" applyFont="1" applyBorder="1"/>
    <xf numFmtId="0" fontId="2" fillId="0" borderId="0" xfId="0" applyFont="1"/>
    <xf numFmtId="0" fontId="4" fillId="0" borderId="0" xfId="0" applyFont="1"/>
    <xf numFmtId="0" fontId="2" fillId="0" borderId="8" xfId="0" applyFont="1" applyBorder="1" applyAlignment="1">
      <alignment horizontal="center"/>
    </xf>
    <xf numFmtId="165" fontId="2" fillId="2" borderId="12" xfId="1" applyNumberFormat="1" applyFont="1" applyFill="1" applyBorder="1"/>
    <xf numFmtId="166" fontId="2" fillId="0" borderId="8" xfId="1" applyNumberFormat="1" applyFont="1" applyBorder="1"/>
    <xf numFmtId="165" fontId="2" fillId="3" borderId="8" xfId="1" applyNumberFormat="1" applyFont="1" applyFill="1" applyBorder="1" applyAlignment="1">
      <alignment horizontal="left"/>
    </xf>
    <xf numFmtId="165" fontId="2" fillId="0" borderId="8" xfId="1" applyNumberFormat="1" applyFont="1" applyBorder="1"/>
    <xf numFmtId="43" fontId="2" fillId="0" borderId="8" xfId="1" applyNumberFormat="1" applyFont="1" applyBorder="1"/>
    <xf numFmtId="165" fontId="2" fillId="2" borderId="8" xfId="1" applyNumberFormat="1" applyFont="1" applyFill="1" applyBorder="1"/>
    <xf numFmtId="167" fontId="2" fillId="0" borderId="8" xfId="1" applyNumberFormat="1" applyFont="1" applyBorder="1"/>
    <xf numFmtId="165" fontId="2" fillId="0" borderId="8" xfId="1" applyNumberFormat="1" applyFont="1" applyBorder="1" applyAlignment="1">
      <alignment horizontal="left"/>
    </xf>
    <xf numFmtId="165" fontId="5" fillId="0" borderId="8" xfId="1" applyNumberFormat="1" applyFont="1" applyBorder="1"/>
    <xf numFmtId="0" fontId="2" fillId="0" borderId="14" xfId="0" applyFont="1" applyBorder="1" applyAlignment="1">
      <alignment horizontal="left"/>
    </xf>
    <xf numFmtId="165" fontId="2" fillId="0" borderId="10" xfId="1" applyNumberFormat="1" applyFont="1" applyBorder="1"/>
    <xf numFmtId="165" fontId="2" fillId="2" borderId="10" xfId="1" applyNumberFormat="1" applyFont="1" applyFill="1" applyBorder="1"/>
    <xf numFmtId="0" fontId="2" fillId="0" borderId="0" xfId="0" applyFont="1" applyBorder="1"/>
    <xf numFmtId="165" fontId="2" fillId="0" borderId="0" xfId="1" applyNumberFormat="1" applyFont="1" applyBorder="1"/>
    <xf numFmtId="165" fontId="2" fillId="0" borderId="15" xfId="1" applyNumberFormat="1" applyFont="1" applyBorder="1"/>
    <xf numFmtId="165" fontId="2" fillId="0" borderId="17" xfId="1" applyNumberFormat="1" applyFont="1" applyBorder="1" applyAlignment="1"/>
    <xf numFmtId="165" fontId="2" fillId="0" borderId="0" xfId="1" applyNumberFormat="1" applyFont="1" applyBorder="1" applyAlignment="1"/>
    <xf numFmtId="165" fontId="2" fillId="2" borderId="0" xfId="1" applyNumberFormat="1" applyFont="1" applyFill="1" applyBorder="1" applyAlignment="1"/>
    <xf numFmtId="0" fontId="2" fillId="3" borderId="0" xfId="0" applyFont="1" applyFill="1" applyBorder="1"/>
    <xf numFmtId="165" fontId="2" fillId="0" borderId="0" xfId="0" applyNumberFormat="1" applyFont="1" applyBorder="1"/>
    <xf numFmtId="0" fontId="2" fillId="2" borderId="0" xfId="0" applyFont="1" applyFill="1" applyBorder="1"/>
    <xf numFmtId="0" fontId="6" fillId="0" borderId="0" xfId="0" applyFont="1" applyBorder="1"/>
    <xf numFmtId="0" fontId="2" fillId="3" borderId="0" xfId="0" applyFont="1" applyFill="1"/>
    <xf numFmtId="0" fontId="6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14" fontId="2" fillId="0" borderId="0" xfId="0" applyNumberFormat="1" applyFont="1"/>
    <xf numFmtId="14" fontId="2" fillId="2" borderId="0" xfId="0" applyNumberFormat="1" applyFont="1" applyFill="1"/>
    <xf numFmtId="165" fontId="2" fillId="0" borderId="0" xfId="0" applyNumberFormat="1" applyFont="1"/>
    <xf numFmtId="0" fontId="3" fillId="0" borderId="3" xfId="0" applyFont="1" applyBorder="1" applyAlignment="1">
      <alignment horizontal="center"/>
    </xf>
    <xf numFmtId="165" fontId="2" fillId="2" borderId="13" xfId="1" applyNumberFormat="1" applyFont="1" applyFill="1" applyBorder="1" applyAlignment="1">
      <alignment horizontal="center"/>
    </xf>
    <xf numFmtId="0" fontId="2" fillId="0" borderId="25" xfId="0" applyFont="1" applyBorder="1"/>
    <xf numFmtId="0" fontId="2" fillId="3" borderId="23" xfId="0" applyFont="1" applyFill="1" applyBorder="1"/>
    <xf numFmtId="0" fontId="2" fillId="3" borderId="26" xfId="0" applyFont="1" applyFill="1" applyBorder="1"/>
    <xf numFmtId="0" fontId="2" fillId="3" borderId="24" xfId="0" applyFont="1" applyFill="1" applyBorder="1"/>
    <xf numFmtId="165" fontId="2" fillId="2" borderId="27" xfId="1" applyNumberFormat="1" applyFont="1" applyFill="1" applyBorder="1"/>
    <xf numFmtId="0" fontId="2" fillId="2" borderId="8" xfId="0" applyFont="1" applyFill="1" applyBorder="1" applyAlignment="1"/>
    <xf numFmtId="168" fontId="2" fillId="0" borderId="8" xfId="1" applyNumberFormat="1" applyFont="1" applyBorder="1"/>
    <xf numFmtId="0" fontId="2" fillId="0" borderId="28" xfId="0" applyFont="1" applyBorder="1" applyAlignment="1">
      <alignment horizontal="center"/>
    </xf>
    <xf numFmtId="16" fontId="3" fillId="0" borderId="28" xfId="0" applyNumberFormat="1" applyFont="1" applyBorder="1" applyAlignment="1">
      <alignment horizontal="center"/>
    </xf>
    <xf numFmtId="165" fontId="2" fillId="3" borderId="8" xfId="1" applyNumberFormat="1" applyFont="1" applyFill="1" applyBorder="1"/>
    <xf numFmtId="166" fontId="2" fillId="0" borderId="9" xfId="1" applyNumberFormat="1" applyFont="1" applyBorder="1"/>
    <xf numFmtId="0" fontId="2" fillId="0" borderId="2" xfId="0" applyFont="1" applyBorder="1"/>
    <xf numFmtId="0" fontId="3" fillId="0" borderId="8" xfId="0" applyFont="1" applyBorder="1" applyAlignment="1">
      <alignment horizontal="center"/>
    </xf>
    <xf numFmtId="0" fontId="2" fillId="2" borderId="8" xfId="0" applyFont="1" applyFill="1" applyBorder="1"/>
    <xf numFmtId="165" fontId="2" fillId="3" borderId="8" xfId="0" applyNumberFormat="1" applyFont="1" applyFill="1" applyBorder="1"/>
    <xf numFmtId="0" fontId="2" fillId="2" borderId="23" xfId="0" applyFont="1" applyFill="1" applyBorder="1"/>
    <xf numFmtId="0" fontId="2" fillId="2" borderId="26" xfId="0" applyFont="1" applyFill="1" applyBorder="1"/>
    <xf numFmtId="0" fontId="2" fillId="2" borderId="24" xfId="0" applyFont="1" applyFill="1" applyBorder="1"/>
    <xf numFmtId="0" fontId="2" fillId="2" borderId="25" xfId="0" applyFont="1" applyFill="1" applyBorder="1"/>
    <xf numFmtId="165" fontId="2" fillId="2" borderId="8" xfId="0" applyNumberFormat="1" applyFont="1" applyFill="1" applyBorder="1"/>
    <xf numFmtId="0" fontId="3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2" borderId="25" xfId="0" applyFont="1" applyFill="1" applyBorder="1" applyAlignment="1"/>
    <xf numFmtId="167" fontId="2" fillId="0" borderId="25" xfId="1" applyNumberFormat="1" applyFont="1" applyBorder="1"/>
    <xf numFmtId="0" fontId="2" fillId="0" borderId="3" xfId="0" applyFont="1" applyBorder="1"/>
    <xf numFmtId="0" fontId="2" fillId="2" borderId="3" xfId="0" applyFont="1" applyFill="1" applyBorder="1"/>
    <xf numFmtId="0" fontId="2" fillId="0" borderId="30" xfId="0" applyFont="1" applyBorder="1"/>
    <xf numFmtId="0" fontId="2" fillId="0" borderId="32" xfId="0" applyFont="1" applyBorder="1"/>
    <xf numFmtId="0" fontId="3" fillId="0" borderId="1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5" xfId="0" applyFont="1" applyBorder="1"/>
    <xf numFmtId="0" fontId="2" fillId="0" borderId="11" xfId="0" applyFont="1" applyBorder="1"/>
    <xf numFmtId="0" fontId="2" fillId="2" borderId="24" xfId="0" applyFont="1" applyFill="1" applyBorder="1" applyAlignment="1"/>
    <xf numFmtId="0" fontId="2" fillId="2" borderId="15" xfId="0" applyFont="1" applyFill="1" applyBorder="1" applyAlignment="1"/>
    <xf numFmtId="0" fontId="2" fillId="2" borderId="16" xfId="0" applyFont="1" applyFill="1" applyBorder="1" applyAlignment="1"/>
    <xf numFmtId="0" fontId="2" fillId="2" borderId="10" xfId="0" applyFont="1" applyFill="1" applyBorder="1" applyAlignment="1"/>
    <xf numFmtId="0" fontId="2" fillId="0" borderId="10" xfId="0" applyFont="1" applyBorder="1"/>
    <xf numFmtId="0" fontId="2" fillId="2" borderId="16" xfId="0" applyFont="1" applyFill="1" applyBorder="1"/>
    <xf numFmtId="167" fontId="2" fillId="3" borderId="25" xfId="0" applyNumberFormat="1" applyFont="1" applyFill="1" applyBorder="1"/>
    <xf numFmtId="165" fontId="2" fillId="6" borderId="8" xfId="1" applyNumberFormat="1" applyFont="1" applyFill="1" applyBorder="1"/>
    <xf numFmtId="0" fontId="2" fillId="0" borderId="27" xfId="0" applyFont="1" applyBorder="1"/>
    <xf numFmtId="0" fontId="2" fillId="0" borderId="29" xfId="0" applyFont="1" applyBorder="1"/>
    <xf numFmtId="0" fontId="2" fillId="2" borderId="36" xfId="0" applyFont="1" applyFill="1" applyBorder="1"/>
    <xf numFmtId="0" fontId="2" fillId="2" borderId="12" xfId="0" applyFont="1" applyFill="1" applyBorder="1"/>
    <xf numFmtId="0" fontId="2" fillId="2" borderId="9" xfId="0" applyFont="1" applyFill="1" applyBorder="1"/>
    <xf numFmtId="165" fontId="2" fillId="2" borderId="9" xfId="1" applyNumberFormat="1" applyFont="1" applyFill="1" applyBorder="1"/>
    <xf numFmtId="0" fontId="2" fillId="0" borderId="14" xfId="0" applyFont="1" applyBorder="1"/>
    <xf numFmtId="0" fontId="2" fillId="0" borderId="37" xfId="0" applyFont="1" applyBorder="1"/>
    <xf numFmtId="0" fontId="2" fillId="0" borderId="38" xfId="0" applyFont="1" applyBorder="1"/>
    <xf numFmtId="165" fontId="2" fillId="0" borderId="38" xfId="1" applyNumberFormat="1" applyFont="1" applyBorder="1"/>
    <xf numFmtId="165" fontId="2" fillId="0" borderId="14" xfId="1" applyNumberFormat="1" applyFont="1" applyBorder="1"/>
    <xf numFmtId="0" fontId="2" fillId="6" borderId="0" xfId="0" applyFont="1" applyFill="1" applyBorder="1" applyAlignment="1">
      <alignment horizontal="center"/>
    </xf>
    <xf numFmtId="165" fontId="2" fillId="6" borderId="0" xfId="1" applyNumberFormat="1" applyFont="1" applyFill="1" applyBorder="1"/>
    <xf numFmtId="0" fontId="2" fillId="6" borderId="0" xfId="0" applyFont="1" applyFill="1" applyBorder="1"/>
    <xf numFmtId="14" fontId="2" fillId="0" borderId="0" xfId="0" applyNumberFormat="1" applyFont="1" applyBorder="1"/>
    <xf numFmtId="14" fontId="2" fillId="6" borderId="0" xfId="0" applyNumberFormat="1" applyFont="1" applyFill="1" applyBorder="1"/>
    <xf numFmtId="0" fontId="2" fillId="6" borderId="8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4" xfId="0" applyFont="1" applyBorder="1"/>
    <xf numFmtId="0" fontId="2" fillId="7" borderId="45" xfId="0" applyFont="1" applyFill="1" applyBorder="1"/>
    <xf numFmtId="0" fontId="2" fillId="0" borderId="46" xfId="0" applyFont="1" applyBorder="1"/>
    <xf numFmtId="0" fontId="2" fillId="7" borderId="47" xfId="0" applyFont="1" applyFill="1" applyBorder="1"/>
    <xf numFmtId="165" fontId="2" fillId="0" borderId="27" xfId="1" applyNumberFormat="1" applyFont="1" applyBorder="1"/>
    <xf numFmtId="0" fontId="3" fillId="0" borderId="39" xfId="0" applyFont="1" applyBorder="1" applyAlignment="1">
      <alignment horizontal="center"/>
    </xf>
    <xf numFmtId="0" fontId="2" fillId="8" borderId="34" xfId="0" applyFont="1" applyFill="1" applyBorder="1"/>
    <xf numFmtId="0" fontId="3" fillId="0" borderId="44" xfId="0" applyFont="1" applyBorder="1" applyAlignment="1">
      <alignment horizontal="center"/>
    </xf>
    <xf numFmtId="0" fontId="2" fillId="8" borderId="47" xfId="0" applyFont="1" applyFill="1" applyBorder="1"/>
    <xf numFmtId="0" fontId="3" fillId="0" borderId="49" xfId="0" applyFont="1" applyBorder="1" applyAlignment="1">
      <alignment horizontal="center"/>
    </xf>
    <xf numFmtId="0" fontId="2" fillId="8" borderId="50" xfId="0" applyFont="1" applyFill="1" applyBorder="1"/>
    <xf numFmtId="165" fontId="2" fillId="0" borderId="44" xfId="1" applyNumberFormat="1" applyFont="1" applyBorder="1"/>
    <xf numFmtId="165" fontId="2" fillId="8" borderId="45" xfId="1" applyNumberFormat="1" applyFont="1" applyFill="1" applyBorder="1"/>
    <xf numFmtId="165" fontId="2" fillId="0" borderId="33" xfId="1" applyNumberFormat="1" applyFont="1" applyBorder="1"/>
    <xf numFmtId="165" fontId="2" fillId="8" borderId="34" xfId="1" applyNumberFormat="1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0"/>
  <sheetViews>
    <sheetView zoomScale="50" zoomScaleNormal="50" zoomScaleSheetLayoutView="50" workbookViewId="0">
      <pane xSplit="2" ySplit="3" topLeftCell="G25" activePane="bottomRight" state="frozen"/>
      <selection pane="topRight" activeCell="C1" sqref="C1"/>
      <selection pane="bottomLeft" activeCell="A3" sqref="A3"/>
      <selection pane="bottomRight" activeCell="W113" sqref="W113"/>
    </sheetView>
  </sheetViews>
  <sheetFormatPr defaultColWidth="9.140625" defaultRowHeight="20.25" x14ac:dyDescent="0.3"/>
  <cols>
    <col min="1" max="1" width="10.85546875" style="5" customWidth="1"/>
    <col min="2" max="2" width="13.28515625" style="5" customWidth="1"/>
    <col min="3" max="3" width="14.140625" style="5" customWidth="1"/>
    <col min="4" max="4" width="12.7109375" style="5" customWidth="1"/>
    <col min="5" max="5" width="16.85546875" style="5" customWidth="1"/>
    <col min="6" max="6" width="14.85546875" style="5" customWidth="1"/>
    <col min="7" max="7" width="15.42578125" style="5" customWidth="1"/>
    <col min="8" max="8" width="14.7109375" style="5" customWidth="1"/>
    <col min="9" max="9" width="19" style="5" customWidth="1"/>
    <col min="10" max="10" width="13.42578125" style="5" customWidth="1"/>
    <col min="11" max="11" width="17.140625" style="32" customWidth="1"/>
    <col min="12" max="13" width="15" style="32" customWidth="1"/>
    <col min="14" max="14" width="12.7109375" style="32" customWidth="1"/>
    <col min="15" max="15" width="17" style="20" customWidth="1"/>
    <col min="16" max="16" width="17" style="93" customWidth="1"/>
    <col min="17" max="17" width="14.140625" style="20" customWidth="1"/>
    <col min="18" max="18" width="15.28515625" style="20" customWidth="1"/>
    <col min="19" max="19" width="12.85546875" style="5" customWidth="1"/>
    <col min="20" max="20" width="17" style="5" customWidth="1"/>
    <col min="21" max="22" width="14" style="5" customWidth="1"/>
    <col min="23" max="23" width="18.42578125" style="5" customWidth="1"/>
    <col min="24" max="24" width="18" style="30" customWidth="1"/>
    <col min="25" max="26" width="18" style="32" customWidth="1"/>
    <col min="27" max="27" width="16.42578125" style="5" customWidth="1"/>
    <col min="28" max="34" width="9.140625" style="5"/>
    <col min="35" max="16384" width="9.140625" style="31"/>
  </cols>
  <sheetData>
    <row r="1" spans="1:34" ht="30" customHeight="1" thickBot="1" x14ac:dyDescent="0.35">
      <c r="A1" s="51"/>
      <c r="B1" s="64"/>
      <c r="C1" s="64"/>
      <c r="D1" s="64"/>
      <c r="E1" s="64"/>
      <c r="F1" s="64"/>
      <c r="G1" s="64"/>
      <c r="H1" s="64"/>
      <c r="I1" s="64"/>
      <c r="J1" s="113" t="s">
        <v>26</v>
      </c>
      <c r="K1" s="114"/>
      <c r="L1" s="114"/>
      <c r="M1" s="114"/>
      <c r="N1" s="114"/>
      <c r="O1" s="114"/>
      <c r="P1" s="115"/>
      <c r="Q1" s="113" t="s">
        <v>33</v>
      </c>
      <c r="R1" s="114"/>
      <c r="S1" s="114"/>
      <c r="T1" s="114"/>
      <c r="U1" s="114"/>
      <c r="V1" s="114"/>
      <c r="W1" s="114"/>
      <c r="X1" s="41" t="s">
        <v>46</v>
      </c>
      <c r="Y1" s="65" t="s">
        <v>49</v>
      </c>
      <c r="Z1" s="55" t="s">
        <v>48</v>
      </c>
      <c r="AA1" s="66"/>
    </row>
    <row r="2" spans="1:34" s="6" customFormat="1" ht="33.950000000000003" customHeight="1" thickBot="1" x14ac:dyDescent="0.35">
      <c r="A2" s="119" t="s">
        <v>0</v>
      </c>
      <c r="B2" s="121" t="s">
        <v>1</v>
      </c>
      <c r="C2" s="38" t="s">
        <v>2</v>
      </c>
      <c r="D2" s="1" t="s">
        <v>2</v>
      </c>
      <c r="E2" s="1" t="s">
        <v>3</v>
      </c>
      <c r="F2" s="125" t="s">
        <v>4</v>
      </c>
      <c r="G2" s="126"/>
      <c r="H2" s="2" t="s">
        <v>5</v>
      </c>
      <c r="I2" s="3" t="s">
        <v>6</v>
      </c>
      <c r="J2" s="123" t="s">
        <v>7</v>
      </c>
      <c r="K2" s="124"/>
      <c r="L2" s="113" t="s">
        <v>34</v>
      </c>
      <c r="M2" s="115"/>
      <c r="N2" s="39" t="s">
        <v>32</v>
      </c>
      <c r="O2" s="20" t="s">
        <v>31</v>
      </c>
      <c r="P2" s="91" t="s">
        <v>17</v>
      </c>
      <c r="Q2" s="118" t="s">
        <v>2</v>
      </c>
      <c r="R2" s="118"/>
      <c r="S2" s="116" t="s">
        <v>34</v>
      </c>
      <c r="T2" s="117"/>
      <c r="U2" s="125" t="s">
        <v>35</v>
      </c>
      <c r="V2" s="127"/>
      <c r="W2" s="81" t="s">
        <v>36</v>
      </c>
      <c r="X2" s="42" t="s">
        <v>8</v>
      </c>
      <c r="Y2" s="28" t="s">
        <v>51</v>
      </c>
      <c r="Z2" s="56"/>
      <c r="AA2" s="67" t="s">
        <v>9</v>
      </c>
      <c r="AB2" s="5"/>
      <c r="AC2" s="5"/>
      <c r="AD2" s="5"/>
      <c r="AE2" s="5"/>
      <c r="AF2" s="5"/>
      <c r="AG2" s="5"/>
      <c r="AH2" s="5"/>
    </row>
    <row r="3" spans="1:34" s="6" customFormat="1" ht="33.950000000000003" customHeight="1" thickBot="1" x14ac:dyDescent="0.35">
      <c r="A3" s="120"/>
      <c r="B3" s="122"/>
      <c r="C3" s="68" t="s">
        <v>24</v>
      </c>
      <c r="D3" s="68" t="s">
        <v>25</v>
      </c>
      <c r="E3" s="69" t="s">
        <v>2</v>
      </c>
      <c r="F3" s="70" t="s">
        <v>10</v>
      </c>
      <c r="G3" s="70" t="s">
        <v>11</v>
      </c>
      <c r="H3" s="69" t="s">
        <v>12</v>
      </c>
      <c r="I3" s="71" t="s">
        <v>13</v>
      </c>
      <c r="J3" s="72" t="s">
        <v>27</v>
      </c>
      <c r="K3" s="73" t="s">
        <v>14</v>
      </c>
      <c r="L3" s="74" t="s">
        <v>15</v>
      </c>
      <c r="M3" s="75" t="s">
        <v>14</v>
      </c>
      <c r="N3" s="82"/>
      <c r="O3" s="4"/>
      <c r="P3" s="96" t="s">
        <v>30</v>
      </c>
      <c r="Q3" s="4" t="s">
        <v>28</v>
      </c>
      <c r="R3" s="4" t="s">
        <v>16</v>
      </c>
      <c r="S3" s="86" t="s">
        <v>15</v>
      </c>
      <c r="T3" s="76" t="s">
        <v>16</v>
      </c>
      <c r="U3" s="70" t="s">
        <v>29</v>
      </c>
      <c r="V3" s="70"/>
      <c r="W3" s="80" t="s">
        <v>37</v>
      </c>
      <c r="X3" s="43"/>
      <c r="Y3" s="77" t="s">
        <v>50</v>
      </c>
      <c r="Z3" s="57"/>
      <c r="AA3" s="71" t="s">
        <v>18</v>
      </c>
      <c r="AB3" s="5"/>
      <c r="AC3" s="5"/>
      <c r="AD3" s="5"/>
      <c r="AE3" s="5"/>
      <c r="AF3" s="5"/>
      <c r="AG3" s="5"/>
      <c r="AH3" s="5"/>
    </row>
    <row r="4" spans="1:34" s="6" customFormat="1" ht="33.950000000000003" customHeight="1" x14ac:dyDescent="0.3">
      <c r="A4" s="47"/>
      <c r="B4" s="48">
        <v>46025</v>
      </c>
      <c r="C4" s="60"/>
      <c r="D4" s="60"/>
      <c r="E4" s="61"/>
      <c r="F4" s="40"/>
      <c r="G4" s="40"/>
      <c r="H4" s="61"/>
      <c r="I4" s="40"/>
      <c r="J4" s="62"/>
      <c r="K4" s="62"/>
      <c r="L4" s="62"/>
      <c r="M4" s="62"/>
      <c r="N4" s="83"/>
      <c r="O4" s="4"/>
      <c r="P4" s="79">
        <f>I4+K4+M4+N4+O4</f>
        <v>0</v>
      </c>
      <c r="Q4" s="4"/>
      <c r="R4" s="4"/>
      <c r="S4" s="87">
        <v>7</v>
      </c>
      <c r="T4" s="63">
        <v>14000</v>
      </c>
      <c r="U4" s="40"/>
      <c r="V4" s="40"/>
      <c r="W4" s="63">
        <f>R4+T4+U4+V4</f>
        <v>14000</v>
      </c>
      <c r="X4" s="78">
        <f>W4-P4</f>
        <v>14000</v>
      </c>
      <c r="Y4" s="58">
        <v>2</v>
      </c>
      <c r="Z4" s="58"/>
      <c r="AA4" s="40">
        <v>880</v>
      </c>
      <c r="AB4" s="5"/>
      <c r="AC4" s="5"/>
      <c r="AD4" s="5"/>
      <c r="AE4" s="5"/>
      <c r="AF4" s="5"/>
      <c r="AG4" s="5"/>
      <c r="AH4" s="5"/>
    </row>
    <row r="5" spans="1:34" s="6" customFormat="1" ht="33.950000000000003" customHeight="1" x14ac:dyDescent="0.3">
      <c r="A5" s="47"/>
      <c r="B5" s="48">
        <v>46027</v>
      </c>
      <c r="C5" s="52">
        <v>237</v>
      </c>
      <c r="D5" s="52">
        <v>237</v>
      </c>
      <c r="E5" s="7"/>
      <c r="F5" s="4"/>
      <c r="G5" s="4"/>
      <c r="H5" s="7"/>
      <c r="I5" s="4"/>
      <c r="J5" s="45"/>
      <c r="K5" s="45"/>
      <c r="L5" s="45"/>
      <c r="M5" s="45"/>
      <c r="N5" s="84"/>
      <c r="O5" s="4"/>
      <c r="P5" s="79">
        <f>I5+K5+M5+N5+O5+P4</f>
        <v>0</v>
      </c>
      <c r="Q5" s="4"/>
      <c r="R5" s="4"/>
      <c r="S5" s="88"/>
      <c r="T5" s="4"/>
      <c r="U5" s="4"/>
      <c r="V5" s="4"/>
      <c r="W5" s="14">
        <f>R5+T5+U5+V5+W4</f>
        <v>14000</v>
      </c>
      <c r="X5" s="54">
        <f t="shared" ref="X5:X82" si="0">W5-P5</f>
        <v>14000</v>
      </c>
      <c r="Y5" s="53"/>
      <c r="Z5" s="53"/>
      <c r="AA5" s="4">
        <f t="shared" ref="AA5:AA36" si="1">AA4+F5+L5-S5-Y4-Z4</f>
        <v>878</v>
      </c>
      <c r="AB5" s="5"/>
      <c r="AC5" s="5"/>
      <c r="AD5" s="5"/>
      <c r="AE5" s="5"/>
      <c r="AF5" s="5"/>
      <c r="AG5" s="5"/>
      <c r="AH5" s="5"/>
    </row>
    <row r="6" spans="1:34" s="5" customFormat="1" ht="33.950000000000003" customHeight="1" x14ac:dyDescent="0.3">
      <c r="A6" s="8"/>
      <c r="B6" s="50">
        <v>46028</v>
      </c>
      <c r="C6" s="15"/>
      <c r="D6" s="10"/>
      <c r="E6" s="11"/>
      <c r="F6" s="11"/>
      <c r="G6" s="11"/>
      <c r="H6" s="12"/>
      <c r="I6" s="11"/>
      <c r="J6" s="11">
        <v>5</v>
      </c>
      <c r="K6" s="13">
        <v>73075</v>
      </c>
      <c r="L6" s="13"/>
      <c r="M6" s="13"/>
      <c r="N6" s="85"/>
      <c r="O6" s="11"/>
      <c r="P6" s="79">
        <f>I6+K6+M6+N6+O6+P5</f>
        <v>73075</v>
      </c>
      <c r="Q6" s="11"/>
      <c r="R6" s="11"/>
      <c r="S6" s="89"/>
      <c r="T6" s="11"/>
      <c r="U6" s="11"/>
      <c r="V6" s="11"/>
      <c r="W6" s="14">
        <f t="shared" ref="W6:W69" si="2">R6+T6+U6+V6+W5</f>
        <v>14000</v>
      </c>
      <c r="X6" s="54">
        <f t="shared" si="0"/>
        <v>-59075</v>
      </c>
      <c r="Y6" s="59">
        <v>1</v>
      </c>
      <c r="Z6" s="59"/>
      <c r="AA6" s="4">
        <f t="shared" si="1"/>
        <v>878</v>
      </c>
    </row>
    <row r="7" spans="1:34" s="5" customFormat="1" ht="33.950000000000003" customHeight="1" x14ac:dyDescent="0.3">
      <c r="A7" s="8"/>
      <c r="B7" s="50">
        <v>46032</v>
      </c>
      <c r="C7" s="15">
        <v>120</v>
      </c>
      <c r="D7" s="10">
        <v>0</v>
      </c>
      <c r="E7" s="11"/>
      <c r="F7" s="11"/>
      <c r="G7" s="11"/>
      <c r="H7" s="12"/>
      <c r="I7" s="11"/>
      <c r="J7" s="11"/>
      <c r="K7" s="13"/>
      <c r="L7" s="13"/>
      <c r="M7" s="13"/>
      <c r="N7" s="85"/>
      <c r="O7" s="11"/>
      <c r="P7" s="79">
        <f t="shared" ref="P7:P70" si="3">I7+K7+M7+N7+O7+P6</f>
        <v>73075</v>
      </c>
      <c r="Q7" s="11">
        <v>120</v>
      </c>
      <c r="R7" s="11">
        <v>30000</v>
      </c>
      <c r="S7" s="89"/>
      <c r="T7" s="11"/>
      <c r="U7" s="11"/>
      <c r="V7" s="11"/>
      <c r="W7" s="14">
        <f t="shared" si="2"/>
        <v>44000</v>
      </c>
      <c r="X7" s="54">
        <f t="shared" si="0"/>
        <v>-29075</v>
      </c>
      <c r="Y7" s="59">
        <v>2</v>
      </c>
      <c r="Z7" s="59"/>
      <c r="AA7" s="4">
        <f t="shared" si="1"/>
        <v>877</v>
      </c>
    </row>
    <row r="8" spans="1:34" s="5" customFormat="1" ht="33.950000000000003" customHeight="1" x14ac:dyDescent="0.3">
      <c r="A8" s="8"/>
      <c r="B8" s="50">
        <v>46037</v>
      </c>
      <c r="C8" s="15"/>
      <c r="D8" s="10"/>
      <c r="E8" s="11"/>
      <c r="F8" s="11"/>
      <c r="G8" s="11"/>
      <c r="H8" s="12"/>
      <c r="I8" s="11"/>
      <c r="J8" s="11">
        <v>4</v>
      </c>
      <c r="K8" s="13">
        <v>63550</v>
      </c>
      <c r="L8" s="13"/>
      <c r="M8" s="13"/>
      <c r="N8" s="85"/>
      <c r="O8" s="11"/>
      <c r="P8" s="79">
        <f t="shared" si="3"/>
        <v>136625</v>
      </c>
      <c r="Q8" s="11"/>
      <c r="R8" s="11"/>
      <c r="S8" s="89"/>
      <c r="T8" s="11"/>
      <c r="U8" s="11"/>
      <c r="V8" s="11"/>
      <c r="W8" s="14">
        <f t="shared" si="2"/>
        <v>44000</v>
      </c>
      <c r="X8" s="54">
        <f t="shared" si="0"/>
        <v>-92625</v>
      </c>
      <c r="Y8" s="59"/>
      <c r="Z8" s="59"/>
      <c r="AA8" s="4">
        <f t="shared" si="1"/>
        <v>875</v>
      </c>
    </row>
    <row r="9" spans="1:34" s="5" customFormat="1" ht="33.950000000000003" customHeight="1" x14ac:dyDescent="0.3">
      <c r="A9" s="8"/>
      <c r="B9" s="50">
        <v>46038</v>
      </c>
      <c r="C9" s="15">
        <v>217</v>
      </c>
      <c r="D9" s="10">
        <v>217</v>
      </c>
      <c r="E9" s="11"/>
      <c r="F9" s="11"/>
      <c r="G9" s="11"/>
      <c r="H9" s="12"/>
      <c r="I9" s="11"/>
      <c r="J9" s="11"/>
      <c r="K9" s="13"/>
      <c r="L9" s="13"/>
      <c r="M9" s="13"/>
      <c r="N9" s="85"/>
      <c r="O9" s="11"/>
      <c r="P9" s="79">
        <f t="shared" si="3"/>
        <v>136625</v>
      </c>
      <c r="Q9" s="11"/>
      <c r="R9" s="11"/>
      <c r="S9" s="89"/>
      <c r="T9" s="11"/>
      <c r="U9" s="11"/>
      <c r="V9" s="11"/>
      <c r="W9" s="14">
        <f t="shared" si="2"/>
        <v>44000</v>
      </c>
      <c r="X9" s="54">
        <f t="shared" si="0"/>
        <v>-92625</v>
      </c>
      <c r="Y9" s="59">
        <v>2</v>
      </c>
      <c r="Z9" s="59"/>
      <c r="AA9" s="4">
        <f t="shared" si="1"/>
        <v>875</v>
      </c>
    </row>
    <row r="10" spans="1:34" s="5" customFormat="1" ht="33.950000000000003" customHeight="1" x14ac:dyDescent="0.3">
      <c r="A10" s="8"/>
      <c r="B10" s="50">
        <v>46043</v>
      </c>
      <c r="C10" s="15">
        <v>285</v>
      </c>
      <c r="D10" s="10">
        <v>285</v>
      </c>
      <c r="E10" s="11"/>
      <c r="F10" s="11"/>
      <c r="G10" s="11"/>
      <c r="H10" s="12"/>
      <c r="I10" s="11"/>
      <c r="J10" s="11"/>
      <c r="K10" s="13"/>
      <c r="L10" s="13"/>
      <c r="M10" s="13"/>
      <c r="N10" s="85"/>
      <c r="O10" s="11"/>
      <c r="P10" s="79">
        <f t="shared" si="3"/>
        <v>136625</v>
      </c>
      <c r="Q10" s="11"/>
      <c r="R10" s="11"/>
      <c r="S10" s="89"/>
      <c r="T10" s="11"/>
      <c r="U10" s="11"/>
      <c r="V10" s="11"/>
      <c r="W10" s="14">
        <f t="shared" si="2"/>
        <v>44000</v>
      </c>
      <c r="X10" s="54">
        <f t="shared" si="0"/>
        <v>-92625</v>
      </c>
      <c r="Y10" s="59"/>
      <c r="Z10" s="59"/>
      <c r="AA10" s="4">
        <f t="shared" si="1"/>
        <v>873</v>
      </c>
    </row>
    <row r="11" spans="1:34" s="5" customFormat="1" ht="33.950000000000003" customHeight="1" x14ac:dyDescent="0.3">
      <c r="A11" s="8"/>
      <c r="B11" s="50">
        <v>46048</v>
      </c>
      <c r="C11" s="15"/>
      <c r="D11" s="10"/>
      <c r="E11" s="11"/>
      <c r="F11" s="11">
        <v>107</v>
      </c>
      <c r="G11" s="11"/>
      <c r="H11" s="12"/>
      <c r="I11" s="11"/>
      <c r="J11" s="11"/>
      <c r="K11" s="13"/>
      <c r="L11" s="13"/>
      <c r="M11" s="13"/>
      <c r="N11" s="85"/>
      <c r="O11" s="11"/>
      <c r="P11" s="79">
        <f t="shared" si="3"/>
        <v>136625</v>
      </c>
      <c r="Q11" s="11"/>
      <c r="R11" s="11"/>
      <c r="S11" s="89">
        <v>75</v>
      </c>
      <c r="T11" s="11">
        <v>60000</v>
      </c>
      <c r="U11" s="11"/>
      <c r="V11" s="11"/>
      <c r="W11" s="14">
        <f t="shared" si="2"/>
        <v>104000</v>
      </c>
      <c r="X11" s="54">
        <f t="shared" si="0"/>
        <v>-32625</v>
      </c>
      <c r="Y11" s="59">
        <v>1</v>
      </c>
      <c r="Z11" s="59"/>
      <c r="AA11" s="4">
        <f t="shared" si="1"/>
        <v>905</v>
      </c>
    </row>
    <row r="12" spans="1:34" s="5" customFormat="1" ht="33.950000000000003" customHeight="1" x14ac:dyDescent="0.3">
      <c r="A12" s="8"/>
      <c r="B12" s="50">
        <v>46049</v>
      </c>
      <c r="C12" s="15"/>
      <c r="D12" s="10"/>
      <c r="E12" s="11"/>
      <c r="F12" s="11"/>
      <c r="G12" s="11"/>
      <c r="H12" s="12"/>
      <c r="I12" s="11"/>
      <c r="J12" s="11"/>
      <c r="K12" s="13"/>
      <c r="L12" s="13"/>
      <c r="M12" s="13"/>
      <c r="N12" s="85"/>
      <c r="O12" s="11"/>
      <c r="P12" s="79">
        <f t="shared" si="3"/>
        <v>136625</v>
      </c>
      <c r="Q12" s="11"/>
      <c r="R12" s="11"/>
      <c r="S12" s="89">
        <v>60</v>
      </c>
      <c r="T12" s="11">
        <v>48000</v>
      </c>
      <c r="U12" s="11"/>
      <c r="V12" s="11"/>
      <c r="W12" s="14">
        <f t="shared" si="2"/>
        <v>152000</v>
      </c>
      <c r="X12" s="54">
        <f t="shared" si="0"/>
        <v>15375</v>
      </c>
      <c r="Y12" s="59"/>
      <c r="Z12" s="59"/>
      <c r="AA12" s="4">
        <f t="shared" si="1"/>
        <v>844</v>
      </c>
    </row>
    <row r="13" spans="1:34" s="5" customFormat="1" ht="33.950000000000003" customHeight="1" x14ac:dyDescent="0.3">
      <c r="A13" s="8"/>
      <c r="B13" s="50">
        <v>46052</v>
      </c>
      <c r="C13" s="15">
        <v>323</v>
      </c>
      <c r="D13" s="10">
        <v>323</v>
      </c>
      <c r="E13" s="11"/>
      <c r="F13" s="11"/>
      <c r="G13" s="11"/>
      <c r="H13" s="12"/>
      <c r="I13" s="11"/>
      <c r="J13" s="11"/>
      <c r="K13" s="13"/>
      <c r="L13" s="13"/>
      <c r="M13" s="13"/>
      <c r="N13" s="85"/>
      <c r="O13" s="11"/>
      <c r="P13" s="79">
        <f t="shared" si="3"/>
        <v>136625</v>
      </c>
      <c r="Q13" s="11"/>
      <c r="R13" s="11"/>
      <c r="S13" s="89"/>
      <c r="T13" s="11"/>
      <c r="U13" s="11"/>
      <c r="V13" s="11"/>
      <c r="W13" s="14">
        <f t="shared" si="2"/>
        <v>152000</v>
      </c>
      <c r="X13" s="54">
        <f t="shared" si="0"/>
        <v>15375</v>
      </c>
      <c r="Y13" s="59"/>
      <c r="Z13" s="59">
        <v>2</v>
      </c>
      <c r="AA13" s="4">
        <f t="shared" si="1"/>
        <v>844</v>
      </c>
    </row>
    <row r="14" spans="1:34" s="5" customFormat="1" ht="33.950000000000003" customHeight="1" x14ac:dyDescent="0.3">
      <c r="A14" s="8"/>
      <c r="B14" s="50">
        <v>46053</v>
      </c>
      <c r="C14" s="15"/>
      <c r="D14" s="10"/>
      <c r="E14" s="11"/>
      <c r="F14" s="11"/>
      <c r="G14" s="11"/>
      <c r="H14" s="12"/>
      <c r="I14" s="11"/>
      <c r="J14" s="11"/>
      <c r="K14" s="13"/>
      <c r="L14" s="13"/>
      <c r="M14" s="13"/>
      <c r="N14" s="85"/>
      <c r="O14" s="11"/>
      <c r="P14" s="79">
        <f t="shared" si="3"/>
        <v>136625</v>
      </c>
      <c r="Q14" s="11"/>
      <c r="R14" s="11"/>
      <c r="S14" s="89">
        <v>20</v>
      </c>
      <c r="T14" s="11">
        <v>16000</v>
      </c>
      <c r="U14" s="11"/>
      <c r="V14" s="11"/>
      <c r="W14" s="14">
        <f t="shared" si="2"/>
        <v>168000</v>
      </c>
      <c r="X14" s="54">
        <f t="shared" si="0"/>
        <v>31375</v>
      </c>
      <c r="Y14" s="59"/>
      <c r="Z14" s="59"/>
      <c r="AA14" s="4">
        <f t="shared" si="1"/>
        <v>822</v>
      </c>
    </row>
    <row r="15" spans="1:34" s="5" customFormat="1" ht="33.950000000000003" customHeight="1" x14ac:dyDescent="0.3">
      <c r="A15" s="8"/>
      <c r="B15" s="50">
        <v>46054</v>
      </c>
      <c r="C15" s="15">
        <v>30</v>
      </c>
      <c r="D15" s="10">
        <v>0</v>
      </c>
      <c r="E15" s="11"/>
      <c r="F15" s="11"/>
      <c r="G15" s="11"/>
      <c r="H15" s="12"/>
      <c r="I15" s="11"/>
      <c r="J15" s="11"/>
      <c r="K15" s="13"/>
      <c r="L15" s="13"/>
      <c r="M15" s="13"/>
      <c r="N15" s="85"/>
      <c r="O15" s="11"/>
      <c r="P15" s="79">
        <f t="shared" si="3"/>
        <v>136625</v>
      </c>
      <c r="Q15" s="11">
        <v>30</v>
      </c>
      <c r="R15" s="11">
        <v>7500</v>
      </c>
      <c r="S15" s="89"/>
      <c r="T15" s="11"/>
      <c r="U15" s="11"/>
      <c r="V15" s="11"/>
      <c r="W15" s="14">
        <f t="shared" si="2"/>
        <v>175500</v>
      </c>
      <c r="X15" s="54">
        <f t="shared" si="0"/>
        <v>38875</v>
      </c>
      <c r="Y15" s="59"/>
      <c r="Z15" s="59">
        <v>3</v>
      </c>
      <c r="AA15" s="4">
        <f t="shared" si="1"/>
        <v>822</v>
      </c>
    </row>
    <row r="16" spans="1:34" s="5" customFormat="1" ht="33.950000000000003" customHeight="1" x14ac:dyDescent="0.3">
      <c r="A16" s="8"/>
      <c r="B16" s="50">
        <v>46059</v>
      </c>
      <c r="C16" s="15"/>
      <c r="D16" s="10"/>
      <c r="E16" s="11"/>
      <c r="F16" s="11">
        <v>156</v>
      </c>
      <c r="G16" s="11"/>
      <c r="H16" s="12"/>
      <c r="I16" s="11"/>
      <c r="J16" s="11">
        <v>5</v>
      </c>
      <c r="K16" s="13">
        <v>76000</v>
      </c>
      <c r="L16" s="13"/>
      <c r="M16" s="13"/>
      <c r="N16" s="85"/>
      <c r="O16" s="11"/>
      <c r="P16" s="79">
        <f t="shared" si="3"/>
        <v>212625</v>
      </c>
      <c r="Q16" s="11"/>
      <c r="R16" s="11"/>
      <c r="S16" s="89">
        <v>51</v>
      </c>
      <c r="T16" s="11">
        <v>40000</v>
      </c>
      <c r="U16" s="11"/>
      <c r="V16" s="11"/>
      <c r="W16" s="14">
        <f t="shared" si="2"/>
        <v>215500</v>
      </c>
      <c r="X16" s="54">
        <f t="shared" si="0"/>
        <v>2875</v>
      </c>
      <c r="Y16" s="59"/>
      <c r="Z16" s="59"/>
      <c r="AA16" s="4">
        <f t="shared" si="1"/>
        <v>924</v>
      </c>
    </row>
    <row r="17" spans="1:27" s="5" customFormat="1" ht="33.950000000000003" customHeight="1" x14ac:dyDescent="0.3">
      <c r="A17" s="8"/>
      <c r="B17" s="50">
        <v>46060</v>
      </c>
      <c r="C17" s="15">
        <v>300</v>
      </c>
      <c r="D17" s="15">
        <v>0</v>
      </c>
      <c r="E17" s="11"/>
      <c r="F17" s="11"/>
      <c r="G17" s="11"/>
      <c r="H17" s="12"/>
      <c r="I17" s="11"/>
      <c r="J17" s="11"/>
      <c r="K17" s="13"/>
      <c r="L17" s="13"/>
      <c r="M17" s="13"/>
      <c r="N17" s="85"/>
      <c r="O17" s="11"/>
      <c r="P17" s="79">
        <f t="shared" si="3"/>
        <v>212625</v>
      </c>
      <c r="Q17" s="11">
        <v>300</v>
      </c>
      <c r="R17" s="11">
        <f>Q17*250</f>
        <v>75000</v>
      </c>
      <c r="S17" s="89"/>
      <c r="T17" s="11"/>
      <c r="U17" s="11"/>
      <c r="V17" s="11"/>
      <c r="W17" s="14">
        <f t="shared" si="2"/>
        <v>290500</v>
      </c>
      <c r="X17" s="54">
        <f t="shared" si="0"/>
        <v>77875</v>
      </c>
      <c r="Y17" s="59">
        <v>2</v>
      </c>
      <c r="Z17" s="59"/>
      <c r="AA17" s="4">
        <f t="shared" si="1"/>
        <v>924</v>
      </c>
    </row>
    <row r="18" spans="1:27" s="5" customFormat="1" ht="33.950000000000003" customHeight="1" x14ac:dyDescent="0.3">
      <c r="A18" s="8"/>
      <c r="B18" s="50">
        <v>46065</v>
      </c>
      <c r="C18" s="15"/>
      <c r="D18" s="15"/>
      <c r="E18" s="11"/>
      <c r="F18" s="11">
        <v>192</v>
      </c>
      <c r="G18" s="11"/>
      <c r="H18" s="12"/>
      <c r="I18" s="11"/>
      <c r="J18" s="11">
        <v>4</v>
      </c>
      <c r="K18" s="13">
        <v>56850</v>
      </c>
      <c r="L18" s="13"/>
      <c r="M18" s="13"/>
      <c r="N18" s="85"/>
      <c r="O18" s="11"/>
      <c r="P18" s="79">
        <f t="shared" si="3"/>
        <v>269475</v>
      </c>
      <c r="Q18" s="11"/>
      <c r="R18" s="11"/>
      <c r="S18" s="89"/>
      <c r="T18" s="11"/>
      <c r="U18" s="11"/>
      <c r="V18" s="11"/>
      <c r="W18" s="14">
        <f t="shared" si="2"/>
        <v>290500</v>
      </c>
      <c r="X18" s="54">
        <f t="shared" si="0"/>
        <v>21025</v>
      </c>
      <c r="Y18" s="59"/>
      <c r="Z18" s="59"/>
      <c r="AA18" s="4">
        <f t="shared" si="1"/>
        <v>1114</v>
      </c>
    </row>
    <row r="19" spans="1:27" s="5" customFormat="1" ht="33.950000000000003" customHeight="1" x14ac:dyDescent="0.3">
      <c r="A19" s="8"/>
      <c r="B19" s="50">
        <v>46067</v>
      </c>
      <c r="C19" s="15">
        <v>320</v>
      </c>
      <c r="D19" s="15">
        <v>320</v>
      </c>
      <c r="E19" s="11"/>
      <c r="F19" s="11"/>
      <c r="G19" s="11"/>
      <c r="H19" s="12"/>
      <c r="I19" s="11"/>
      <c r="J19" s="11"/>
      <c r="K19" s="13"/>
      <c r="L19" s="13"/>
      <c r="M19" s="13"/>
      <c r="N19" s="85"/>
      <c r="O19" s="11"/>
      <c r="P19" s="79">
        <f t="shared" si="3"/>
        <v>269475</v>
      </c>
      <c r="Q19" s="11"/>
      <c r="R19" s="11"/>
      <c r="S19" s="89"/>
      <c r="T19" s="11"/>
      <c r="U19" s="11"/>
      <c r="V19" s="11"/>
      <c r="W19" s="14">
        <f t="shared" si="2"/>
        <v>290500</v>
      </c>
      <c r="X19" s="54">
        <f t="shared" si="0"/>
        <v>21025</v>
      </c>
      <c r="Y19" s="59"/>
      <c r="Z19" s="59">
        <v>4</v>
      </c>
      <c r="AA19" s="4">
        <f t="shared" si="1"/>
        <v>1114</v>
      </c>
    </row>
    <row r="20" spans="1:27" s="5" customFormat="1" ht="33.950000000000003" customHeight="1" x14ac:dyDescent="0.3">
      <c r="A20" s="8"/>
      <c r="B20" s="50">
        <v>46073</v>
      </c>
      <c r="C20" s="15"/>
      <c r="D20" s="15"/>
      <c r="E20" s="11"/>
      <c r="F20" s="11">
        <v>127</v>
      </c>
      <c r="G20" s="11"/>
      <c r="H20" s="12"/>
      <c r="I20" s="11"/>
      <c r="J20" s="11">
        <v>5</v>
      </c>
      <c r="K20" s="13">
        <v>73675</v>
      </c>
      <c r="L20" s="13"/>
      <c r="M20" s="13"/>
      <c r="N20" s="85"/>
      <c r="O20" s="11"/>
      <c r="P20" s="79">
        <f t="shared" si="3"/>
        <v>343150</v>
      </c>
      <c r="Q20" s="11"/>
      <c r="R20" s="11"/>
      <c r="S20" s="89"/>
      <c r="T20" s="11"/>
      <c r="U20" s="11"/>
      <c r="V20" s="11"/>
      <c r="W20" s="14">
        <f t="shared" si="2"/>
        <v>290500</v>
      </c>
      <c r="X20" s="54">
        <f t="shared" si="0"/>
        <v>-52650</v>
      </c>
      <c r="Y20" s="59"/>
      <c r="Z20" s="59"/>
      <c r="AA20" s="4">
        <f t="shared" si="1"/>
        <v>1237</v>
      </c>
    </row>
    <row r="21" spans="1:27" s="5" customFormat="1" ht="33.950000000000003" customHeight="1" x14ac:dyDescent="0.3">
      <c r="A21" s="8"/>
      <c r="B21" s="50">
        <v>46075</v>
      </c>
      <c r="C21" s="15">
        <v>240</v>
      </c>
      <c r="D21" s="15">
        <v>240</v>
      </c>
      <c r="E21" s="11"/>
      <c r="F21" s="11"/>
      <c r="G21" s="11"/>
      <c r="H21" s="12"/>
      <c r="I21" s="11"/>
      <c r="J21" s="11"/>
      <c r="K21" s="13"/>
      <c r="L21" s="13"/>
      <c r="M21" s="13"/>
      <c r="N21" s="85"/>
      <c r="O21" s="11"/>
      <c r="P21" s="79">
        <f t="shared" si="3"/>
        <v>343150</v>
      </c>
      <c r="Q21" s="11"/>
      <c r="R21" s="11"/>
      <c r="S21" s="89"/>
      <c r="T21" s="11"/>
      <c r="U21" s="11"/>
      <c r="V21" s="11"/>
      <c r="W21" s="14">
        <f t="shared" si="2"/>
        <v>290500</v>
      </c>
      <c r="X21" s="54">
        <f t="shared" si="0"/>
        <v>-52650</v>
      </c>
      <c r="Y21" s="59">
        <v>2</v>
      </c>
      <c r="Z21" s="59"/>
      <c r="AA21" s="4">
        <f t="shared" si="1"/>
        <v>1237</v>
      </c>
    </row>
    <row r="22" spans="1:27" s="5" customFormat="1" ht="33.950000000000003" customHeight="1" x14ac:dyDescent="0.3">
      <c r="A22" s="8"/>
      <c r="B22" s="50">
        <v>46079</v>
      </c>
      <c r="C22" s="15"/>
      <c r="D22" s="15"/>
      <c r="E22" s="11"/>
      <c r="F22" s="11"/>
      <c r="G22" s="11"/>
      <c r="H22" s="11"/>
      <c r="I22" s="11"/>
      <c r="J22" s="11">
        <v>4</v>
      </c>
      <c r="K22" s="13">
        <f>28975+27825</f>
        <v>56800</v>
      </c>
      <c r="L22" s="13"/>
      <c r="M22" s="13"/>
      <c r="N22" s="85"/>
      <c r="O22" s="11"/>
      <c r="P22" s="79">
        <f t="shared" si="3"/>
        <v>399950</v>
      </c>
      <c r="Q22" s="11"/>
      <c r="R22" s="11"/>
      <c r="S22" s="89"/>
      <c r="T22" s="11"/>
      <c r="U22" s="11"/>
      <c r="V22" s="11"/>
      <c r="W22" s="14">
        <f t="shared" si="2"/>
        <v>290500</v>
      </c>
      <c r="X22" s="54">
        <f t="shared" si="0"/>
        <v>-109450</v>
      </c>
      <c r="Y22" s="59"/>
      <c r="Z22" s="59">
        <v>2</v>
      </c>
      <c r="AA22" s="4">
        <f t="shared" si="1"/>
        <v>1235</v>
      </c>
    </row>
    <row r="23" spans="1:27" s="5" customFormat="1" ht="33.950000000000003" customHeight="1" x14ac:dyDescent="0.3">
      <c r="A23" s="8"/>
      <c r="B23" s="50">
        <v>46082</v>
      </c>
      <c r="C23" s="15">
        <v>231</v>
      </c>
      <c r="D23" s="15">
        <v>231</v>
      </c>
      <c r="E23" s="11"/>
      <c r="F23" s="11"/>
      <c r="G23" s="11"/>
      <c r="H23" s="12"/>
      <c r="I23" s="11"/>
      <c r="J23" s="11"/>
      <c r="K23" s="13"/>
      <c r="L23" s="13"/>
      <c r="M23" s="13"/>
      <c r="N23" s="85"/>
      <c r="O23" s="11"/>
      <c r="P23" s="79">
        <f t="shared" si="3"/>
        <v>399950</v>
      </c>
      <c r="Q23" s="11"/>
      <c r="R23" s="11"/>
      <c r="S23" s="89"/>
      <c r="T23" s="11"/>
      <c r="U23" s="11"/>
      <c r="V23" s="11"/>
      <c r="W23" s="14">
        <f t="shared" si="2"/>
        <v>290500</v>
      </c>
      <c r="X23" s="54">
        <f t="shared" si="0"/>
        <v>-109450</v>
      </c>
      <c r="Y23" s="59"/>
      <c r="Z23" s="59"/>
      <c r="AA23" s="4">
        <f t="shared" si="1"/>
        <v>1233</v>
      </c>
    </row>
    <row r="24" spans="1:27" s="5" customFormat="1" ht="33.950000000000003" customHeight="1" x14ac:dyDescent="0.3">
      <c r="A24" s="8"/>
      <c r="B24" s="50">
        <v>46084</v>
      </c>
      <c r="C24" s="15"/>
      <c r="D24" s="15"/>
      <c r="E24" s="11"/>
      <c r="F24" s="11"/>
      <c r="G24" s="11"/>
      <c r="H24" s="12"/>
      <c r="I24" s="11"/>
      <c r="J24" s="11">
        <v>4</v>
      </c>
      <c r="K24" s="13">
        <v>56000</v>
      </c>
      <c r="L24" s="13"/>
      <c r="M24" s="13"/>
      <c r="N24" s="85"/>
      <c r="O24" s="11"/>
      <c r="P24" s="79">
        <f t="shared" si="3"/>
        <v>455950</v>
      </c>
      <c r="Q24" s="11"/>
      <c r="R24" s="11"/>
      <c r="S24" s="89"/>
      <c r="T24" s="11"/>
      <c r="U24" s="11"/>
      <c r="V24" s="11"/>
      <c r="W24" s="14">
        <f t="shared" si="2"/>
        <v>290500</v>
      </c>
      <c r="X24" s="54">
        <f t="shared" si="0"/>
        <v>-165450</v>
      </c>
      <c r="Y24" s="59"/>
      <c r="Z24" s="59"/>
      <c r="AA24" s="4">
        <f t="shared" si="1"/>
        <v>1233</v>
      </c>
    </row>
    <row r="25" spans="1:27" s="5" customFormat="1" ht="33.950000000000003" customHeight="1" x14ac:dyDescent="0.3">
      <c r="A25" s="8"/>
      <c r="B25" s="50"/>
      <c r="C25" s="15"/>
      <c r="D25" s="15"/>
      <c r="E25" s="11"/>
      <c r="F25" s="11"/>
      <c r="G25" s="11"/>
      <c r="H25" s="12"/>
      <c r="I25" s="11"/>
      <c r="J25" s="11"/>
      <c r="K25" s="13"/>
      <c r="L25" s="13"/>
      <c r="M25" s="13"/>
      <c r="N25" s="85"/>
      <c r="O25" s="11"/>
      <c r="P25" s="79">
        <f t="shared" si="3"/>
        <v>455950</v>
      </c>
      <c r="Q25" s="11"/>
      <c r="R25" s="11"/>
      <c r="S25" s="89"/>
      <c r="T25" s="11"/>
      <c r="U25" s="11"/>
      <c r="V25" s="11"/>
      <c r="W25" s="14">
        <f t="shared" si="2"/>
        <v>290500</v>
      </c>
      <c r="X25" s="54">
        <f t="shared" si="0"/>
        <v>-165450</v>
      </c>
      <c r="Y25" s="59"/>
      <c r="Z25" s="59">
        <v>1</v>
      </c>
      <c r="AA25" s="4">
        <f t="shared" si="1"/>
        <v>1233</v>
      </c>
    </row>
    <row r="26" spans="1:27" s="5" customFormat="1" ht="33.950000000000003" customHeight="1" x14ac:dyDescent="0.3">
      <c r="A26" s="8"/>
      <c r="B26" s="50">
        <v>46088</v>
      </c>
      <c r="C26" s="15"/>
      <c r="D26" s="15"/>
      <c r="E26" s="11"/>
      <c r="F26" s="11">
        <v>194</v>
      </c>
      <c r="G26" s="11"/>
      <c r="H26" s="12"/>
      <c r="I26" s="11"/>
      <c r="J26" s="11">
        <v>4</v>
      </c>
      <c r="K26" s="13">
        <v>56000</v>
      </c>
      <c r="L26" s="13"/>
      <c r="M26" s="13"/>
      <c r="N26" s="85"/>
      <c r="O26" s="11"/>
      <c r="P26" s="79">
        <f t="shared" si="3"/>
        <v>511950</v>
      </c>
      <c r="Q26" s="11"/>
      <c r="R26" s="11"/>
      <c r="S26" s="89">
        <v>95</v>
      </c>
      <c r="T26" s="11">
        <v>75000</v>
      </c>
      <c r="U26" s="11"/>
      <c r="V26" s="11"/>
      <c r="W26" s="14">
        <f t="shared" si="2"/>
        <v>365500</v>
      </c>
      <c r="X26" s="54">
        <f t="shared" si="0"/>
        <v>-146450</v>
      </c>
      <c r="Y26" s="59"/>
      <c r="Z26" s="59"/>
      <c r="AA26" s="4">
        <f t="shared" si="1"/>
        <v>1331</v>
      </c>
    </row>
    <row r="27" spans="1:27" s="5" customFormat="1" ht="33.950000000000003" customHeight="1" x14ac:dyDescent="0.3">
      <c r="A27" s="8"/>
      <c r="B27" s="50">
        <v>46089</v>
      </c>
      <c r="C27" s="15">
        <v>324</v>
      </c>
      <c r="D27" s="15">
        <v>324</v>
      </c>
      <c r="E27" s="11"/>
      <c r="F27" s="11"/>
      <c r="G27" s="11"/>
      <c r="H27" s="12"/>
      <c r="I27" s="11"/>
      <c r="J27" s="11"/>
      <c r="K27" s="13"/>
      <c r="L27" s="13"/>
      <c r="M27" s="13"/>
      <c r="N27" s="85"/>
      <c r="O27" s="11"/>
      <c r="P27" s="79">
        <f t="shared" si="3"/>
        <v>511950</v>
      </c>
      <c r="Q27" s="11"/>
      <c r="R27" s="11"/>
      <c r="S27" s="89"/>
      <c r="T27" s="11"/>
      <c r="U27" s="11"/>
      <c r="V27" s="11"/>
      <c r="W27" s="14">
        <f t="shared" si="2"/>
        <v>365500</v>
      </c>
      <c r="X27" s="54">
        <f t="shared" si="0"/>
        <v>-146450</v>
      </c>
      <c r="Y27" s="59">
        <v>1</v>
      </c>
      <c r="Z27" s="59">
        <v>3</v>
      </c>
      <c r="AA27" s="4">
        <f t="shared" si="1"/>
        <v>1331</v>
      </c>
    </row>
    <row r="28" spans="1:27" s="5" customFormat="1" ht="33.950000000000003" customHeight="1" x14ac:dyDescent="0.3">
      <c r="A28" s="8"/>
      <c r="B28" s="50">
        <v>46096</v>
      </c>
      <c r="C28" s="15"/>
      <c r="D28" s="15"/>
      <c r="E28" s="11"/>
      <c r="F28" s="11">
        <v>160</v>
      </c>
      <c r="G28" s="11"/>
      <c r="H28" s="12"/>
      <c r="I28" s="11"/>
      <c r="J28" s="11"/>
      <c r="K28" s="13"/>
      <c r="L28" s="13"/>
      <c r="M28" s="13"/>
      <c r="N28" s="85"/>
      <c r="O28" s="11"/>
      <c r="P28" s="79">
        <f t="shared" si="3"/>
        <v>511950</v>
      </c>
      <c r="Q28" s="11"/>
      <c r="R28" s="11"/>
      <c r="S28" s="89">
        <v>50</v>
      </c>
      <c r="T28" s="11">
        <v>40000</v>
      </c>
      <c r="U28" s="11"/>
      <c r="V28" s="11"/>
      <c r="W28" s="14">
        <f t="shared" si="2"/>
        <v>405500</v>
      </c>
      <c r="X28" s="54">
        <f t="shared" si="0"/>
        <v>-106450</v>
      </c>
      <c r="Y28" s="59"/>
      <c r="Z28" s="59"/>
      <c r="AA28" s="4">
        <f t="shared" si="1"/>
        <v>1437</v>
      </c>
    </row>
    <row r="29" spans="1:27" s="5" customFormat="1" ht="33.950000000000003" customHeight="1" x14ac:dyDescent="0.3">
      <c r="A29" s="8"/>
      <c r="B29" s="50">
        <v>46097</v>
      </c>
      <c r="C29" s="15">
        <v>181</v>
      </c>
      <c r="D29" s="15">
        <v>181</v>
      </c>
      <c r="E29" s="11"/>
      <c r="F29" s="11"/>
      <c r="G29" s="11"/>
      <c r="H29" s="12"/>
      <c r="I29" s="11"/>
      <c r="J29" s="11"/>
      <c r="K29" s="13"/>
      <c r="L29" s="13"/>
      <c r="M29" s="13"/>
      <c r="N29" s="85"/>
      <c r="O29" s="11"/>
      <c r="P29" s="79">
        <f t="shared" si="3"/>
        <v>511950</v>
      </c>
      <c r="Q29" s="11"/>
      <c r="R29" s="11"/>
      <c r="S29" s="89"/>
      <c r="T29" s="11"/>
      <c r="U29" s="11"/>
      <c r="V29" s="11"/>
      <c r="W29" s="14">
        <f t="shared" si="2"/>
        <v>405500</v>
      </c>
      <c r="X29" s="54">
        <f t="shared" si="0"/>
        <v>-106450</v>
      </c>
      <c r="Y29" s="59"/>
      <c r="Z29" s="59">
        <v>4</v>
      </c>
      <c r="AA29" s="4">
        <f t="shared" si="1"/>
        <v>1437</v>
      </c>
    </row>
    <row r="30" spans="1:27" s="5" customFormat="1" ht="33.950000000000003" customHeight="1" x14ac:dyDescent="0.3">
      <c r="A30" s="8"/>
      <c r="B30" s="50">
        <v>46102</v>
      </c>
      <c r="C30" s="15">
        <v>97</v>
      </c>
      <c r="D30" s="15">
        <v>97</v>
      </c>
      <c r="E30" s="11"/>
      <c r="F30" s="11"/>
      <c r="G30" s="11"/>
      <c r="H30" s="12"/>
      <c r="I30" s="11"/>
      <c r="J30" s="11"/>
      <c r="K30" s="13"/>
      <c r="L30" s="13"/>
      <c r="M30" s="13"/>
      <c r="N30" s="85"/>
      <c r="O30" s="11"/>
      <c r="P30" s="79">
        <f t="shared" si="3"/>
        <v>511950</v>
      </c>
      <c r="Q30" s="11"/>
      <c r="R30" s="11"/>
      <c r="S30" s="89"/>
      <c r="T30" s="11"/>
      <c r="U30" s="11"/>
      <c r="V30" s="11"/>
      <c r="W30" s="14">
        <f t="shared" si="2"/>
        <v>405500</v>
      </c>
      <c r="X30" s="54">
        <f t="shared" si="0"/>
        <v>-106450</v>
      </c>
      <c r="Y30" s="59"/>
      <c r="Z30" s="59"/>
      <c r="AA30" s="4">
        <f t="shared" si="1"/>
        <v>1433</v>
      </c>
    </row>
    <row r="31" spans="1:27" s="5" customFormat="1" ht="33.950000000000003" customHeight="1" x14ac:dyDescent="0.3">
      <c r="A31" s="8"/>
      <c r="B31" s="50">
        <v>46103</v>
      </c>
      <c r="C31" s="15"/>
      <c r="D31" s="15"/>
      <c r="E31" s="11"/>
      <c r="F31" s="11">
        <v>121</v>
      </c>
      <c r="G31" s="11"/>
      <c r="H31" s="12"/>
      <c r="I31" s="11"/>
      <c r="J31" s="11"/>
      <c r="K31" s="13"/>
      <c r="L31" s="13"/>
      <c r="M31" s="13"/>
      <c r="N31" s="85"/>
      <c r="O31" s="11"/>
      <c r="P31" s="79">
        <f t="shared" si="3"/>
        <v>511950</v>
      </c>
      <c r="Q31" s="11"/>
      <c r="R31" s="11"/>
      <c r="S31" s="89">
        <v>150</v>
      </c>
      <c r="T31" s="11">
        <v>105000</v>
      </c>
      <c r="U31" s="11"/>
      <c r="V31" s="11"/>
      <c r="W31" s="14">
        <f t="shared" si="2"/>
        <v>510500</v>
      </c>
      <c r="X31" s="54">
        <f t="shared" si="0"/>
        <v>-1450</v>
      </c>
      <c r="Y31" s="59"/>
      <c r="Z31" s="59">
        <v>2</v>
      </c>
      <c r="AA31" s="4">
        <f t="shared" si="1"/>
        <v>1404</v>
      </c>
    </row>
    <row r="32" spans="1:27" s="5" customFormat="1" ht="33.950000000000003" customHeight="1" x14ac:dyDescent="0.3">
      <c r="A32" s="8"/>
      <c r="B32" s="50">
        <v>46110</v>
      </c>
      <c r="C32" s="15"/>
      <c r="D32" s="15"/>
      <c r="E32" s="11"/>
      <c r="F32" s="11">
        <v>196</v>
      </c>
      <c r="G32" s="11"/>
      <c r="H32" s="12"/>
      <c r="I32" s="11"/>
      <c r="J32" s="11"/>
      <c r="K32" s="13"/>
      <c r="L32" s="13"/>
      <c r="M32" s="13"/>
      <c r="N32" s="85"/>
      <c r="O32" s="11"/>
      <c r="P32" s="79">
        <f t="shared" si="3"/>
        <v>511950</v>
      </c>
      <c r="Q32" s="11"/>
      <c r="R32" s="11"/>
      <c r="S32" s="89"/>
      <c r="T32" s="11"/>
      <c r="U32" s="11"/>
      <c r="V32" s="11"/>
      <c r="W32" s="14">
        <f t="shared" si="2"/>
        <v>510500</v>
      </c>
      <c r="X32" s="54">
        <f t="shared" si="0"/>
        <v>-1450</v>
      </c>
      <c r="Y32" s="59">
        <v>2</v>
      </c>
      <c r="Z32" s="59"/>
      <c r="AA32" s="4">
        <f t="shared" si="1"/>
        <v>1598</v>
      </c>
    </row>
    <row r="33" spans="1:27" s="5" customFormat="1" ht="33.950000000000003" customHeight="1" x14ac:dyDescent="0.3">
      <c r="A33" s="8"/>
      <c r="B33" s="50">
        <v>46112</v>
      </c>
      <c r="C33" s="15">
        <v>168</v>
      </c>
      <c r="D33" s="15">
        <v>168</v>
      </c>
      <c r="E33" s="11"/>
      <c r="F33" s="11"/>
      <c r="G33" s="11"/>
      <c r="H33" s="12"/>
      <c r="I33" s="11"/>
      <c r="J33" s="11">
        <v>5</v>
      </c>
      <c r="K33" s="13">
        <v>73000</v>
      </c>
      <c r="L33" s="13"/>
      <c r="M33" s="13"/>
      <c r="N33" s="85"/>
      <c r="O33" s="11"/>
      <c r="P33" s="79">
        <f t="shared" si="3"/>
        <v>584950</v>
      </c>
      <c r="Q33" s="11"/>
      <c r="R33" s="11"/>
      <c r="S33" s="89"/>
      <c r="T33" s="11"/>
      <c r="U33" s="11"/>
      <c r="V33" s="11"/>
      <c r="W33" s="14">
        <f t="shared" si="2"/>
        <v>510500</v>
      </c>
      <c r="X33" s="54">
        <f t="shared" si="0"/>
        <v>-74450</v>
      </c>
      <c r="Y33" s="59"/>
      <c r="Z33" s="59">
        <v>6</v>
      </c>
      <c r="AA33" s="4">
        <f t="shared" si="1"/>
        <v>1596</v>
      </c>
    </row>
    <row r="34" spans="1:27" s="5" customFormat="1" ht="33.950000000000003" customHeight="1" x14ac:dyDescent="0.3">
      <c r="A34" s="8"/>
      <c r="B34" s="50"/>
      <c r="C34" s="15"/>
      <c r="D34" s="15"/>
      <c r="E34" s="11"/>
      <c r="F34" s="11"/>
      <c r="G34" s="11"/>
      <c r="H34" s="11"/>
      <c r="I34" s="11"/>
      <c r="J34" s="11"/>
      <c r="K34" s="13"/>
      <c r="L34" s="13"/>
      <c r="M34" s="13"/>
      <c r="N34" s="85"/>
      <c r="O34" s="11"/>
      <c r="P34" s="79">
        <f t="shared" si="3"/>
        <v>584950</v>
      </c>
      <c r="Q34" s="11"/>
      <c r="R34" s="11"/>
      <c r="S34" s="89"/>
      <c r="T34" s="11"/>
      <c r="U34" s="11"/>
      <c r="V34" s="11"/>
      <c r="W34" s="14">
        <f t="shared" si="2"/>
        <v>510500</v>
      </c>
      <c r="X34" s="54">
        <f t="shared" si="0"/>
        <v>-74450</v>
      </c>
      <c r="Y34" s="59"/>
      <c r="Z34" s="59"/>
      <c r="AA34" s="4">
        <f t="shared" si="1"/>
        <v>1590</v>
      </c>
    </row>
    <row r="35" spans="1:27" s="5" customFormat="1" ht="33.950000000000003" customHeight="1" x14ac:dyDescent="0.3">
      <c r="A35" s="8" t="s">
        <v>39</v>
      </c>
      <c r="B35" s="50">
        <v>46116</v>
      </c>
      <c r="C35" s="15">
        <v>30</v>
      </c>
      <c r="D35" s="15">
        <v>0</v>
      </c>
      <c r="E35" s="11"/>
      <c r="F35" s="11"/>
      <c r="G35" s="11"/>
      <c r="H35" s="11"/>
      <c r="I35" s="11"/>
      <c r="J35" s="9"/>
      <c r="K35" s="13"/>
      <c r="L35" s="13"/>
      <c r="M35" s="13"/>
      <c r="N35" s="85"/>
      <c r="O35" s="11">
        <v>2000</v>
      </c>
      <c r="P35" s="79">
        <f t="shared" si="3"/>
        <v>586950</v>
      </c>
      <c r="Q35" s="11">
        <v>30</v>
      </c>
      <c r="R35" s="11">
        <v>7500</v>
      </c>
      <c r="S35" s="89">
        <v>2</v>
      </c>
      <c r="T35" s="11">
        <v>24000</v>
      </c>
      <c r="U35" s="11"/>
      <c r="V35" s="11"/>
      <c r="W35" s="14">
        <f t="shared" si="2"/>
        <v>542000</v>
      </c>
      <c r="X35" s="54">
        <f t="shared" si="0"/>
        <v>-44950</v>
      </c>
      <c r="Y35" s="59"/>
      <c r="Z35" s="59">
        <v>4</v>
      </c>
      <c r="AA35" s="4">
        <f t="shared" si="1"/>
        <v>1588</v>
      </c>
    </row>
    <row r="36" spans="1:27" s="5" customFormat="1" ht="33.950000000000003" customHeight="1" x14ac:dyDescent="0.3">
      <c r="A36" s="8"/>
      <c r="B36" s="50">
        <v>46118</v>
      </c>
      <c r="C36" s="15"/>
      <c r="D36" s="15"/>
      <c r="E36" s="11"/>
      <c r="F36" s="11">
        <v>113</v>
      </c>
      <c r="G36" s="11"/>
      <c r="H36" s="11"/>
      <c r="I36" s="11"/>
      <c r="J36" s="9"/>
      <c r="K36" s="13"/>
      <c r="L36" s="13"/>
      <c r="M36" s="13"/>
      <c r="N36" s="85"/>
      <c r="O36" s="11"/>
      <c r="P36" s="79">
        <f t="shared" si="3"/>
        <v>586950</v>
      </c>
      <c r="Q36" s="11">
        <v>10</v>
      </c>
      <c r="R36" s="11">
        <v>2500</v>
      </c>
      <c r="S36" s="89">
        <v>51</v>
      </c>
      <c r="T36" s="11">
        <v>40000</v>
      </c>
      <c r="U36" s="11"/>
      <c r="V36" s="11"/>
      <c r="W36" s="14">
        <f t="shared" si="2"/>
        <v>584500</v>
      </c>
      <c r="X36" s="54">
        <f t="shared" si="0"/>
        <v>-2450</v>
      </c>
      <c r="Y36" s="59"/>
      <c r="Z36" s="59">
        <v>2</v>
      </c>
      <c r="AA36" s="4">
        <f t="shared" si="1"/>
        <v>1646</v>
      </c>
    </row>
    <row r="37" spans="1:27" s="5" customFormat="1" ht="33.950000000000003" customHeight="1" x14ac:dyDescent="0.3">
      <c r="A37" s="8"/>
      <c r="B37" s="50"/>
      <c r="C37" s="15"/>
      <c r="D37" s="15"/>
      <c r="E37" s="11"/>
      <c r="F37" s="11"/>
      <c r="G37" s="11"/>
      <c r="H37" s="11"/>
      <c r="I37" s="11"/>
      <c r="J37" s="11"/>
      <c r="K37" s="13"/>
      <c r="L37" s="13"/>
      <c r="M37" s="13"/>
      <c r="N37" s="85"/>
      <c r="O37" s="11"/>
      <c r="P37" s="79">
        <f t="shared" si="3"/>
        <v>586950</v>
      </c>
      <c r="Q37" s="11"/>
      <c r="R37" s="11"/>
      <c r="S37" s="89"/>
      <c r="T37" s="11"/>
      <c r="U37" s="11"/>
      <c r="V37" s="11"/>
      <c r="W37" s="14">
        <f t="shared" si="2"/>
        <v>584500</v>
      </c>
      <c r="X37" s="54">
        <f t="shared" si="0"/>
        <v>-2450</v>
      </c>
      <c r="Y37" s="59"/>
      <c r="Z37" s="59"/>
      <c r="AA37" s="4">
        <f t="shared" ref="AA37:AA68" si="4">AA36+F37+L37-S37-Y36-Z36</f>
        <v>1644</v>
      </c>
    </row>
    <row r="38" spans="1:27" s="5" customFormat="1" ht="33.950000000000003" customHeight="1" x14ac:dyDescent="0.3">
      <c r="A38" s="8" t="s">
        <v>38</v>
      </c>
      <c r="B38" s="50">
        <v>46119</v>
      </c>
      <c r="C38" s="15"/>
      <c r="D38" s="15"/>
      <c r="E38" s="11"/>
      <c r="F38" s="11"/>
      <c r="G38" s="11"/>
      <c r="H38" s="11"/>
      <c r="I38" s="11"/>
      <c r="J38" s="11">
        <v>4</v>
      </c>
      <c r="K38" s="13">
        <v>59150</v>
      </c>
      <c r="L38" s="13"/>
      <c r="M38" s="13"/>
      <c r="N38" s="85"/>
      <c r="O38" s="11"/>
      <c r="P38" s="79">
        <f t="shared" si="3"/>
        <v>646100</v>
      </c>
      <c r="Q38" s="11"/>
      <c r="R38" s="11"/>
      <c r="S38" s="89">
        <v>50</v>
      </c>
      <c r="T38" s="11">
        <v>30000</v>
      </c>
      <c r="U38" s="11"/>
      <c r="V38" s="11"/>
      <c r="W38" s="14">
        <f t="shared" si="2"/>
        <v>614500</v>
      </c>
      <c r="X38" s="54">
        <f t="shared" si="0"/>
        <v>-31600</v>
      </c>
      <c r="Y38" s="59"/>
      <c r="Z38" s="59">
        <v>5</v>
      </c>
      <c r="AA38" s="4">
        <f t="shared" si="4"/>
        <v>1594</v>
      </c>
    </row>
    <row r="39" spans="1:27" s="5" customFormat="1" ht="33.950000000000003" customHeight="1" x14ac:dyDescent="0.3">
      <c r="A39" s="8"/>
      <c r="B39" s="50">
        <v>46120</v>
      </c>
      <c r="C39" s="15">
        <v>96</v>
      </c>
      <c r="D39" s="15"/>
      <c r="E39" s="11"/>
      <c r="F39" s="11"/>
      <c r="G39" s="11"/>
      <c r="H39" s="11"/>
      <c r="I39" s="11"/>
      <c r="J39" s="11"/>
      <c r="K39" s="13"/>
      <c r="L39" s="13"/>
      <c r="M39" s="13"/>
      <c r="N39" s="85"/>
      <c r="O39" s="11"/>
      <c r="P39" s="79">
        <f t="shared" si="3"/>
        <v>646100</v>
      </c>
      <c r="Q39" s="11"/>
      <c r="R39" s="11"/>
      <c r="S39" s="89"/>
      <c r="T39" s="11"/>
      <c r="U39" s="11"/>
      <c r="V39" s="11"/>
      <c r="W39" s="14">
        <f t="shared" si="2"/>
        <v>614500</v>
      </c>
      <c r="X39" s="54">
        <f t="shared" si="0"/>
        <v>-31600</v>
      </c>
      <c r="Y39" s="59"/>
      <c r="Z39" s="59"/>
      <c r="AA39" s="4">
        <f t="shared" si="4"/>
        <v>1589</v>
      </c>
    </row>
    <row r="40" spans="1:27" s="5" customFormat="1" ht="33.950000000000003" customHeight="1" x14ac:dyDescent="0.3">
      <c r="A40" s="8" t="s">
        <v>43</v>
      </c>
      <c r="B40" s="50">
        <v>46121</v>
      </c>
      <c r="C40" s="15"/>
      <c r="D40" s="15"/>
      <c r="E40" s="11"/>
      <c r="F40" s="11"/>
      <c r="G40" s="11"/>
      <c r="H40" s="11"/>
      <c r="I40" s="11"/>
      <c r="J40" s="11"/>
      <c r="K40" s="13"/>
      <c r="L40" s="13"/>
      <c r="M40" s="13"/>
      <c r="N40" s="85">
        <v>22000</v>
      </c>
      <c r="O40" s="11"/>
      <c r="P40" s="79">
        <f t="shared" si="3"/>
        <v>668100</v>
      </c>
      <c r="Q40" s="11"/>
      <c r="R40" s="11"/>
      <c r="S40" s="89">
        <v>47</v>
      </c>
      <c r="T40" s="11">
        <f>47*1700</f>
        <v>79900</v>
      </c>
      <c r="U40" s="11"/>
      <c r="V40" s="11"/>
      <c r="W40" s="14">
        <f t="shared" si="2"/>
        <v>694400</v>
      </c>
      <c r="X40" s="54">
        <f t="shared" si="0"/>
        <v>26300</v>
      </c>
      <c r="Y40" s="59"/>
      <c r="Z40" s="59"/>
      <c r="AA40" s="4">
        <f t="shared" si="4"/>
        <v>1542</v>
      </c>
    </row>
    <row r="41" spans="1:27" s="5" customFormat="1" ht="33.950000000000003" customHeight="1" x14ac:dyDescent="0.3">
      <c r="A41" s="8" t="s">
        <v>42</v>
      </c>
      <c r="B41" s="50">
        <v>46122</v>
      </c>
      <c r="C41" s="15"/>
      <c r="D41" s="15"/>
      <c r="E41" s="11"/>
      <c r="F41" s="11"/>
      <c r="G41" s="11"/>
      <c r="H41" s="11"/>
      <c r="I41" s="11"/>
      <c r="J41" s="11"/>
      <c r="K41" s="13"/>
      <c r="L41" s="13"/>
      <c r="M41" s="13"/>
      <c r="N41" s="85"/>
      <c r="O41" s="11"/>
      <c r="P41" s="79">
        <f t="shared" si="3"/>
        <v>668100</v>
      </c>
      <c r="Q41" s="11">
        <v>45</v>
      </c>
      <c r="R41" s="11">
        <f>45*250</f>
        <v>11250</v>
      </c>
      <c r="S41" s="89">
        <v>20</v>
      </c>
      <c r="T41" s="11">
        <v>35000</v>
      </c>
      <c r="U41" s="11"/>
      <c r="V41" s="11"/>
      <c r="W41" s="14">
        <f t="shared" si="2"/>
        <v>740650</v>
      </c>
      <c r="X41" s="54">
        <f t="shared" si="0"/>
        <v>72550</v>
      </c>
      <c r="Y41" s="59"/>
      <c r="Z41" s="59">
        <v>4</v>
      </c>
      <c r="AA41" s="4">
        <f t="shared" si="4"/>
        <v>1522</v>
      </c>
    </row>
    <row r="42" spans="1:27" s="5" customFormat="1" ht="33.950000000000003" customHeight="1" x14ac:dyDescent="0.3">
      <c r="A42" s="8"/>
      <c r="B42" s="50">
        <v>46123</v>
      </c>
      <c r="C42" s="15"/>
      <c r="D42" s="15"/>
      <c r="E42" s="11"/>
      <c r="F42" s="11">
        <v>69</v>
      </c>
      <c r="G42" s="11"/>
      <c r="H42" s="11"/>
      <c r="I42" s="11"/>
      <c r="J42" s="11"/>
      <c r="K42" s="13"/>
      <c r="L42" s="13"/>
      <c r="M42" s="13"/>
      <c r="N42" s="85"/>
      <c r="O42" s="11"/>
      <c r="P42" s="79">
        <f t="shared" si="3"/>
        <v>668100</v>
      </c>
      <c r="Q42" s="11"/>
      <c r="R42" s="11"/>
      <c r="S42" s="89"/>
      <c r="T42" s="16"/>
      <c r="U42" s="16"/>
      <c r="V42" s="16"/>
      <c r="W42" s="14">
        <f t="shared" si="2"/>
        <v>740650</v>
      </c>
      <c r="X42" s="54">
        <f t="shared" si="0"/>
        <v>72550</v>
      </c>
      <c r="Y42" s="59"/>
      <c r="Z42" s="59"/>
      <c r="AA42" s="4">
        <f t="shared" si="4"/>
        <v>1587</v>
      </c>
    </row>
    <row r="43" spans="1:27" s="5" customFormat="1" ht="33.950000000000003" customHeight="1" x14ac:dyDescent="0.3">
      <c r="A43" s="8" t="s">
        <v>38</v>
      </c>
      <c r="B43" s="50">
        <v>46126</v>
      </c>
      <c r="C43" s="15"/>
      <c r="D43" s="15"/>
      <c r="E43" s="11"/>
      <c r="F43" s="11"/>
      <c r="G43" s="11"/>
      <c r="H43" s="11"/>
      <c r="I43" s="11"/>
      <c r="J43" s="11">
        <v>4</v>
      </c>
      <c r="K43" s="13">
        <v>53200</v>
      </c>
      <c r="L43" s="13"/>
      <c r="M43" s="13"/>
      <c r="N43" s="85"/>
      <c r="O43" s="11"/>
      <c r="P43" s="79">
        <f t="shared" si="3"/>
        <v>721300</v>
      </c>
      <c r="Q43" s="11"/>
      <c r="R43" s="11"/>
      <c r="S43" s="89">
        <v>316</v>
      </c>
      <c r="T43" s="11">
        <v>277900</v>
      </c>
      <c r="U43" s="11"/>
      <c r="V43" s="11"/>
      <c r="W43" s="14">
        <f t="shared" si="2"/>
        <v>1018550</v>
      </c>
      <c r="X43" s="54">
        <f t="shared" si="0"/>
        <v>297250</v>
      </c>
      <c r="Y43" s="59"/>
      <c r="Z43" s="59"/>
      <c r="AA43" s="4">
        <f t="shared" si="4"/>
        <v>1271</v>
      </c>
    </row>
    <row r="44" spans="1:27" s="5" customFormat="1" ht="33.950000000000003" customHeight="1" x14ac:dyDescent="0.3">
      <c r="A44" s="8"/>
      <c r="B44" s="50"/>
      <c r="C44" s="15"/>
      <c r="D44" s="15"/>
      <c r="E44" s="11"/>
      <c r="F44" s="11"/>
      <c r="G44" s="11"/>
      <c r="H44" s="11"/>
      <c r="I44" s="11"/>
      <c r="J44" s="11"/>
      <c r="K44" s="13"/>
      <c r="L44" s="13"/>
      <c r="M44" s="13"/>
      <c r="N44" s="85"/>
      <c r="O44" s="11"/>
      <c r="P44" s="79">
        <f t="shared" si="3"/>
        <v>721300</v>
      </c>
      <c r="Q44" s="11"/>
      <c r="R44" s="11"/>
      <c r="S44" s="89"/>
      <c r="T44" s="11"/>
      <c r="U44" s="11"/>
      <c r="V44" s="11"/>
      <c r="W44" s="14">
        <f t="shared" si="2"/>
        <v>1018550</v>
      </c>
      <c r="X44" s="54">
        <f t="shared" si="0"/>
        <v>297250</v>
      </c>
      <c r="Y44" s="59"/>
      <c r="Z44" s="59"/>
      <c r="AA44" s="4">
        <f t="shared" si="4"/>
        <v>1271</v>
      </c>
    </row>
    <row r="45" spans="1:27" s="5" customFormat="1" ht="33.950000000000003" customHeight="1" x14ac:dyDescent="0.3">
      <c r="A45" s="8" t="s">
        <v>42</v>
      </c>
      <c r="B45" s="50">
        <v>46129</v>
      </c>
      <c r="C45" s="15"/>
      <c r="D45" s="15"/>
      <c r="E45" s="11"/>
      <c r="F45" s="11"/>
      <c r="G45" s="11"/>
      <c r="H45" s="11"/>
      <c r="I45" s="11"/>
      <c r="J45" s="11"/>
      <c r="K45" s="13"/>
      <c r="L45" s="13"/>
      <c r="M45" s="13"/>
      <c r="N45" s="85"/>
      <c r="O45" s="11"/>
      <c r="P45" s="79">
        <f t="shared" si="3"/>
        <v>721300</v>
      </c>
      <c r="Q45" s="11"/>
      <c r="R45" s="11"/>
      <c r="S45" s="89">
        <v>8</v>
      </c>
      <c r="T45" s="11">
        <v>24000</v>
      </c>
      <c r="U45" s="11"/>
      <c r="V45" s="11"/>
      <c r="W45" s="14">
        <f t="shared" si="2"/>
        <v>1042550</v>
      </c>
      <c r="X45" s="54">
        <f t="shared" si="0"/>
        <v>321250</v>
      </c>
      <c r="Y45" s="59"/>
      <c r="Z45" s="59">
        <v>4</v>
      </c>
      <c r="AA45" s="4">
        <f t="shared" si="4"/>
        <v>1263</v>
      </c>
    </row>
    <row r="46" spans="1:27" s="5" customFormat="1" ht="33.950000000000003" customHeight="1" x14ac:dyDescent="0.3">
      <c r="A46" s="8" t="s">
        <v>40</v>
      </c>
      <c r="B46" s="50">
        <v>46130</v>
      </c>
      <c r="C46" s="15">
        <v>163</v>
      </c>
      <c r="D46" s="15">
        <v>163</v>
      </c>
      <c r="E46" s="11"/>
      <c r="F46" s="11"/>
      <c r="G46" s="11"/>
      <c r="H46" s="11"/>
      <c r="I46" s="11"/>
      <c r="J46" s="11"/>
      <c r="K46" s="13"/>
      <c r="L46" s="13"/>
      <c r="M46" s="13"/>
      <c r="N46" s="85"/>
      <c r="O46" s="11"/>
      <c r="P46" s="79">
        <f t="shared" si="3"/>
        <v>721300</v>
      </c>
      <c r="Q46" s="11"/>
      <c r="R46" s="11"/>
      <c r="S46" s="89">
        <v>6</v>
      </c>
      <c r="T46" s="11">
        <v>18000</v>
      </c>
      <c r="U46" s="11"/>
      <c r="V46" s="11"/>
      <c r="W46" s="14">
        <f t="shared" si="2"/>
        <v>1060550</v>
      </c>
      <c r="X46" s="54">
        <f t="shared" si="0"/>
        <v>339250</v>
      </c>
      <c r="Y46" s="59"/>
      <c r="Z46" s="59"/>
      <c r="AA46" s="4">
        <f t="shared" si="4"/>
        <v>1253</v>
      </c>
    </row>
    <row r="47" spans="1:27" s="5" customFormat="1" ht="33.950000000000003" customHeight="1" x14ac:dyDescent="0.3">
      <c r="A47" s="8" t="s">
        <v>41</v>
      </c>
      <c r="B47" s="50">
        <v>46132</v>
      </c>
      <c r="C47" s="15">
        <v>60</v>
      </c>
      <c r="D47" s="15">
        <v>60</v>
      </c>
      <c r="E47" s="11"/>
      <c r="F47" s="11"/>
      <c r="G47" s="11"/>
      <c r="H47" s="11"/>
      <c r="I47" s="11"/>
      <c r="J47" s="11"/>
      <c r="K47" s="13"/>
      <c r="L47" s="13"/>
      <c r="M47" s="13"/>
      <c r="N47" s="85"/>
      <c r="O47" s="11"/>
      <c r="P47" s="79">
        <f t="shared" si="3"/>
        <v>721300</v>
      </c>
      <c r="Q47" s="11"/>
      <c r="R47" s="11"/>
      <c r="S47" s="89">
        <v>1</v>
      </c>
      <c r="T47" s="11">
        <v>10000</v>
      </c>
      <c r="U47" s="11"/>
      <c r="V47" s="11"/>
      <c r="W47" s="14">
        <f t="shared" si="2"/>
        <v>1070550</v>
      </c>
      <c r="X47" s="54">
        <f t="shared" si="0"/>
        <v>349250</v>
      </c>
      <c r="Y47" s="59">
        <v>2</v>
      </c>
      <c r="Z47" s="59"/>
      <c r="AA47" s="4">
        <f t="shared" si="4"/>
        <v>1252</v>
      </c>
    </row>
    <row r="48" spans="1:27" s="5" customFormat="1" ht="33.950000000000003" customHeight="1" x14ac:dyDescent="0.3">
      <c r="A48" s="8" t="s">
        <v>38</v>
      </c>
      <c r="B48" s="50">
        <v>46133</v>
      </c>
      <c r="C48" s="9"/>
      <c r="D48" s="15"/>
      <c r="E48" s="11"/>
      <c r="F48" s="11"/>
      <c r="G48" s="11"/>
      <c r="H48" s="11"/>
      <c r="I48" s="11"/>
      <c r="J48" s="11">
        <v>4</v>
      </c>
      <c r="K48" s="13">
        <v>52800</v>
      </c>
      <c r="L48" s="13"/>
      <c r="M48" s="13"/>
      <c r="N48" s="85"/>
      <c r="O48" s="11"/>
      <c r="P48" s="79">
        <f t="shared" si="3"/>
        <v>774100</v>
      </c>
      <c r="Q48" s="11"/>
      <c r="R48" s="11"/>
      <c r="S48" s="89"/>
      <c r="T48" s="11"/>
      <c r="U48" s="11"/>
      <c r="V48" s="11"/>
      <c r="W48" s="14">
        <f t="shared" si="2"/>
        <v>1070550</v>
      </c>
      <c r="X48" s="54">
        <f t="shared" si="0"/>
        <v>296450</v>
      </c>
      <c r="Y48" s="59"/>
      <c r="Z48" s="59">
        <v>2</v>
      </c>
      <c r="AA48" s="4">
        <f t="shared" si="4"/>
        <v>1250</v>
      </c>
    </row>
    <row r="49" spans="1:27" s="5" customFormat="1" ht="33.950000000000003" customHeight="1" x14ac:dyDescent="0.3">
      <c r="A49" s="8" t="s">
        <v>44</v>
      </c>
      <c r="B49" s="50">
        <v>46134</v>
      </c>
      <c r="C49" s="11"/>
      <c r="D49" s="15"/>
      <c r="E49" s="11"/>
      <c r="F49" s="11"/>
      <c r="G49" s="11"/>
      <c r="H49" s="11"/>
      <c r="I49" s="11"/>
      <c r="J49" s="11"/>
      <c r="K49" s="13"/>
      <c r="L49" s="13"/>
      <c r="M49" s="13"/>
      <c r="N49" s="85"/>
      <c r="O49" s="11"/>
      <c r="P49" s="79">
        <f t="shared" si="3"/>
        <v>774100</v>
      </c>
      <c r="Q49" s="11"/>
      <c r="R49" s="11"/>
      <c r="S49" s="89">
        <v>73</v>
      </c>
      <c r="T49" s="11">
        <f>73*700</f>
        <v>51100</v>
      </c>
      <c r="U49" s="11"/>
      <c r="V49" s="11"/>
      <c r="W49" s="14">
        <f t="shared" si="2"/>
        <v>1121650</v>
      </c>
      <c r="X49" s="54">
        <f t="shared" si="0"/>
        <v>347550</v>
      </c>
      <c r="Y49" s="59"/>
      <c r="Z49" s="59"/>
      <c r="AA49" s="4">
        <f t="shared" si="4"/>
        <v>1175</v>
      </c>
    </row>
    <row r="50" spans="1:27" s="5" customFormat="1" ht="33.950000000000003" customHeight="1" x14ac:dyDescent="0.3">
      <c r="A50" s="8" t="s">
        <v>45</v>
      </c>
      <c r="B50" s="50">
        <v>46135</v>
      </c>
      <c r="C50" s="11"/>
      <c r="D50" s="15"/>
      <c r="E50" s="11"/>
      <c r="F50" s="11"/>
      <c r="G50" s="11"/>
      <c r="H50" s="11"/>
      <c r="I50" s="11"/>
      <c r="J50" s="11"/>
      <c r="K50" s="13"/>
      <c r="L50" s="13"/>
      <c r="M50" s="13"/>
      <c r="N50" s="85"/>
      <c r="O50" s="11"/>
      <c r="P50" s="79">
        <f t="shared" si="3"/>
        <v>774100</v>
      </c>
      <c r="Q50" s="11"/>
      <c r="R50" s="11"/>
      <c r="S50" s="89">
        <v>8</v>
      </c>
      <c r="T50" s="11">
        <v>48000</v>
      </c>
      <c r="U50" s="11"/>
      <c r="V50" s="11"/>
      <c r="W50" s="14">
        <f t="shared" si="2"/>
        <v>1169650</v>
      </c>
      <c r="X50" s="54">
        <f t="shared" si="0"/>
        <v>395550</v>
      </c>
      <c r="Y50" s="59">
        <v>2</v>
      </c>
      <c r="Z50" s="59">
        <v>1</v>
      </c>
      <c r="AA50" s="4">
        <f t="shared" si="4"/>
        <v>1167</v>
      </c>
    </row>
    <row r="51" spans="1:27" s="5" customFormat="1" ht="33.950000000000003" customHeight="1" x14ac:dyDescent="0.3">
      <c r="A51" s="8"/>
      <c r="B51" s="50">
        <v>46135</v>
      </c>
      <c r="C51" s="9"/>
      <c r="D51" s="15"/>
      <c r="E51" s="11"/>
      <c r="F51" s="11"/>
      <c r="G51" s="11"/>
      <c r="H51" s="11"/>
      <c r="I51" s="11"/>
      <c r="J51" s="11"/>
      <c r="K51" s="13"/>
      <c r="L51" s="13"/>
      <c r="M51" s="13"/>
      <c r="N51" s="85"/>
      <c r="O51" s="11"/>
      <c r="P51" s="79">
        <f t="shared" si="3"/>
        <v>774100</v>
      </c>
      <c r="Q51" s="11"/>
      <c r="R51" s="11"/>
      <c r="S51" s="89"/>
      <c r="T51" s="11"/>
      <c r="U51" s="11"/>
      <c r="V51" s="11"/>
      <c r="W51" s="14">
        <f t="shared" si="2"/>
        <v>1169650</v>
      </c>
      <c r="X51" s="54">
        <f t="shared" si="0"/>
        <v>395550</v>
      </c>
      <c r="Y51" s="59"/>
      <c r="Z51" s="59">
        <v>5</v>
      </c>
      <c r="AA51" s="4">
        <f t="shared" si="4"/>
        <v>1164</v>
      </c>
    </row>
    <row r="52" spans="1:27" s="5" customFormat="1" ht="33.950000000000003" customHeight="1" x14ac:dyDescent="0.3">
      <c r="A52" s="8"/>
      <c r="B52" s="50">
        <v>46136</v>
      </c>
      <c r="C52" s="11"/>
      <c r="D52" s="15"/>
      <c r="E52" s="11"/>
      <c r="F52" s="11"/>
      <c r="G52" s="11"/>
      <c r="H52" s="11"/>
      <c r="I52" s="11"/>
      <c r="J52" s="11"/>
      <c r="K52" s="13"/>
      <c r="L52" s="13"/>
      <c r="M52" s="13"/>
      <c r="N52" s="85"/>
      <c r="O52" s="11"/>
      <c r="P52" s="79">
        <f t="shared" si="3"/>
        <v>774100</v>
      </c>
      <c r="Q52" s="11"/>
      <c r="R52" s="11"/>
      <c r="S52" s="89"/>
      <c r="T52" s="11"/>
      <c r="U52" s="11"/>
      <c r="V52" s="11"/>
      <c r="W52" s="14">
        <f t="shared" si="2"/>
        <v>1169650</v>
      </c>
      <c r="X52" s="54">
        <f t="shared" si="0"/>
        <v>395550</v>
      </c>
      <c r="Y52" s="59"/>
      <c r="Z52" s="59"/>
      <c r="AA52" s="4">
        <f t="shared" si="4"/>
        <v>1159</v>
      </c>
    </row>
    <row r="53" spans="1:27" s="5" customFormat="1" ht="33.950000000000003" customHeight="1" x14ac:dyDescent="0.3">
      <c r="A53" s="8"/>
      <c r="B53" s="50">
        <v>46137</v>
      </c>
      <c r="C53" s="11"/>
      <c r="D53" s="15"/>
      <c r="E53" s="11"/>
      <c r="F53" s="11"/>
      <c r="G53" s="11"/>
      <c r="H53" s="11"/>
      <c r="I53" s="11"/>
      <c r="J53" s="11"/>
      <c r="K53" s="13"/>
      <c r="L53" s="13"/>
      <c r="M53" s="13"/>
      <c r="N53" s="85"/>
      <c r="O53" s="11"/>
      <c r="P53" s="79">
        <f t="shared" si="3"/>
        <v>774100</v>
      </c>
      <c r="Q53" s="11"/>
      <c r="R53" s="11"/>
      <c r="S53" s="89"/>
      <c r="T53" s="11"/>
      <c r="U53" s="11"/>
      <c r="V53" s="11"/>
      <c r="W53" s="14">
        <f t="shared" si="2"/>
        <v>1169650</v>
      </c>
      <c r="X53" s="54">
        <f t="shared" si="0"/>
        <v>395550</v>
      </c>
      <c r="Y53" s="59"/>
      <c r="Z53" s="59"/>
      <c r="AA53" s="4">
        <f t="shared" si="4"/>
        <v>1159</v>
      </c>
    </row>
    <row r="54" spans="1:27" s="5" customFormat="1" ht="33.950000000000003" customHeight="1" x14ac:dyDescent="0.3">
      <c r="A54" s="8"/>
      <c r="B54" s="50">
        <v>46138</v>
      </c>
      <c r="C54" s="11">
        <v>229</v>
      </c>
      <c r="D54" s="11">
        <v>229</v>
      </c>
      <c r="E54" s="11"/>
      <c r="F54" s="11"/>
      <c r="G54" s="11"/>
      <c r="H54" s="11"/>
      <c r="I54" s="11"/>
      <c r="J54" s="11"/>
      <c r="K54" s="13"/>
      <c r="L54" s="13"/>
      <c r="M54" s="13"/>
      <c r="N54" s="85"/>
      <c r="O54" s="11"/>
      <c r="P54" s="79">
        <f t="shared" si="3"/>
        <v>774100</v>
      </c>
      <c r="Q54" s="11"/>
      <c r="R54" s="11"/>
      <c r="S54" s="89"/>
      <c r="T54" s="11"/>
      <c r="U54" s="11"/>
      <c r="V54" s="11"/>
      <c r="W54" s="14">
        <f t="shared" si="2"/>
        <v>1169650</v>
      </c>
      <c r="X54" s="54">
        <f t="shared" si="0"/>
        <v>395550</v>
      </c>
      <c r="Y54" s="59"/>
      <c r="Z54" s="59"/>
      <c r="AA54" s="4">
        <f t="shared" si="4"/>
        <v>1159</v>
      </c>
    </row>
    <row r="55" spans="1:27" s="5" customFormat="1" ht="33.950000000000003" customHeight="1" x14ac:dyDescent="0.3">
      <c r="A55" s="8"/>
      <c r="B55" s="50">
        <v>46139</v>
      </c>
      <c r="C55" s="11"/>
      <c r="D55" s="11"/>
      <c r="E55" s="11"/>
      <c r="F55" s="11"/>
      <c r="G55" s="11"/>
      <c r="H55" s="11"/>
      <c r="I55" s="11"/>
      <c r="J55" s="11"/>
      <c r="K55" s="13"/>
      <c r="L55" s="13"/>
      <c r="M55" s="13"/>
      <c r="N55" s="85"/>
      <c r="O55" s="11"/>
      <c r="P55" s="79">
        <f t="shared" si="3"/>
        <v>774100</v>
      </c>
      <c r="Q55" s="11"/>
      <c r="R55" s="11"/>
      <c r="S55" s="89">
        <v>1</v>
      </c>
      <c r="T55" s="11">
        <v>13000</v>
      </c>
      <c r="U55" s="11"/>
      <c r="V55" s="11"/>
      <c r="W55" s="14">
        <f t="shared" si="2"/>
        <v>1182650</v>
      </c>
      <c r="X55" s="54">
        <f t="shared" si="0"/>
        <v>408550</v>
      </c>
      <c r="Y55" s="59"/>
      <c r="Z55" s="59"/>
      <c r="AA55" s="4">
        <f t="shared" si="4"/>
        <v>1158</v>
      </c>
    </row>
    <row r="56" spans="1:27" s="5" customFormat="1" ht="33.950000000000003" customHeight="1" x14ac:dyDescent="0.3">
      <c r="A56" s="8"/>
      <c r="B56" s="50">
        <v>46140</v>
      </c>
      <c r="C56" s="11">
        <v>68</v>
      </c>
      <c r="D56" s="11">
        <v>68</v>
      </c>
      <c r="E56" s="11"/>
      <c r="F56" s="11"/>
      <c r="G56" s="11"/>
      <c r="H56" s="11"/>
      <c r="I56" s="11"/>
      <c r="J56" s="46">
        <v>4.5</v>
      </c>
      <c r="K56" s="13">
        <v>61300</v>
      </c>
      <c r="L56" s="13"/>
      <c r="M56" s="13"/>
      <c r="N56" s="85"/>
      <c r="O56" s="11"/>
      <c r="P56" s="79">
        <f t="shared" si="3"/>
        <v>835400</v>
      </c>
      <c r="Q56" s="11"/>
      <c r="R56" s="11"/>
      <c r="S56" s="89"/>
      <c r="T56" s="11"/>
      <c r="U56" s="11"/>
      <c r="V56" s="11"/>
      <c r="W56" s="14">
        <f t="shared" si="2"/>
        <v>1182650</v>
      </c>
      <c r="X56" s="54">
        <f t="shared" si="0"/>
        <v>347250</v>
      </c>
      <c r="Y56" s="59">
        <v>1</v>
      </c>
      <c r="Z56" s="59">
        <v>2</v>
      </c>
      <c r="AA56" s="4">
        <f t="shared" si="4"/>
        <v>1158</v>
      </c>
    </row>
    <row r="57" spans="1:27" s="5" customFormat="1" ht="33.950000000000003" customHeight="1" x14ac:dyDescent="0.3">
      <c r="A57" s="8"/>
      <c r="B57" s="50">
        <v>46141</v>
      </c>
      <c r="C57" s="11">
        <v>45</v>
      </c>
      <c r="D57" s="11">
        <v>45</v>
      </c>
      <c r="E57" s="11"/>
      <c r="F57" s="11">
        <v>68</v>
      </c>
      <c r="G57" s="11"/>
      <c r="H57" s="11"/>
      <c r="I57" s="11"/>
      <c r="J57" s="46"/>
      <c r="K57" s="13"/>
      <c r="L57" s="13"/>
      <c r="M57" s="13"/>
      <c r="N57" s="85"/>
      <c r="O57" s="11"/>
      <c r="P57" s="79">
        <f t="shared" si="3"/>
        <v>835400</v>
      </c>
      <c r="Q57" s="11"/>
      <c r="R57" s="11"/>
      <c r="S57" s="89"/>
      <c r="T57" s="11"/>
      <c r="U57" s="11"/>
      <c r="V57" s="11"/>
      <c r="W57" s="14">
        <f t="shared" si="2"/>
        <v>1182650</v>
      </c>
      <c r="X57" s="54">
        <f t="shared" si="0"/>
        <v>347250</v>
      </c>
      <c r="Y57" s="59"/>
      <c r="Z57" s="59">
        <v>6</v>
      </c>
      <c r="AA57" s="4">
        <f t="shared" si="4"/>
        <v>1223</v>
      </c>
    </row>
    <row r="58" spans="1:27" s="5" customFormat="1" ht="33.950000000000003" customHeight="1" x14ac:dyDescent="0.3">
      <c r="A58" s="8"/>
      <c r="B58" s="50">
        <v>46142</v>
      </c>
      <c r="C58" s="11"/>
      <c r="D58" s="11"/>
      <c r="E58" s="11"/>
      <c r="F58" s="11"/>
      <c r="G58" s="11"/>
      <c r="H58" s="11"/>
      <c r="I58" s="11"/>
      <c r="J58" s="11"/>
      <c r="K58" s="13"/>
      <c r="L58" s="13"/>
      <c r="M58" s="13"/>
      <c r="N58" s="85"/>
      <c r="O58" s="11"/>
      <c r="P58" s="79">
        <f t="shared" si="3"/>
        <v>835400</v>
      </c>
      <c r="Q58" s="11"/>
      <c r="R58" s="11"/>
      <c r="S58" s="89">
        <v>10</v>
      </c>
      <c r="T58" s="11">
        <v>7000</v>
      </c>
      <c r="U58" s="11"/>
      <c r="V58" s="11"/>
      <c r="W58" s="14">
        <f t="shared" si="2"/>
        <v>1189650</v>
      </c>
      <c r="X58" s="54">
        <f t="shared" si="0"/>
        <v>354250</v>
      </c>
      <c r="Y58" s="59"/>
      <c r="Z58" s="59"/>
      <c r="AA58" s="4">
        <f t="shared" si="4"/>
        <v>1207</v>
      </c>
    </row>
    <row r="59" spans="1:27" s="5" customFormat="1" ht="33.950000000000003" customHeight="1" x14ac:dyDescent="0.3">
      <c r="A59" s="8" t="s">
        <v>47</v>
      </c>
      <c r="B59" s="50">
        <v>46145</v>
      </c>
      <c r="C59" s="11"/>
      <c r="D59" s="11"/>
      <c r="E59" s="11"/>
      <c r="F59" s="11"/>
      <c r="G59" s="11"/>
      <c r="H59" s="11"/>
      <c r="I59" s="11"/>
      <c r="J59" s="11">
        <v>4</v>
      </c>
      <c r="K59" s="13">
        <v>52800</v>
      </c>
      <c r="L59" s="13"/>
      <c r="M59" s="13"/>
      <c r="N59" s="85"/>
      <c r="O59" s="11"/>
      <c r="P59" s="79">
        <f t="shared" si="3"/>
        <v>888200</v>
      </c>
      <c r="Q59" s="11"/>
      <c r="R59" s="11"/>
      <c r="S59" s="89"/>
      <c r="T59" s="11"/>
      <c r="U59" s="11"/>
      <c r="V59" s="11"/>
      <c r="W59" s="14">
        <f t="shared" si="2"/>
        <v>1189650</v>
      </c>
      <c r="X59" s="54">
        <f t="shared" si="0"/>
        <v>301450</v>
      </c>
      <c r="Y59" s="59">
        <v>1</v>
      </c>
      <c r="Z59" s="59"/>
      <c r="AA59" s="4">
        <f t="shared" si="4"/>
        <v>1207</v>
      </c>
    </row>
    <row r="60" spans="1:27" s="5" customFormat="1" ht="33.950000000000003" customHeight="1" x14ac:dyDescent="0.3">
      <c r="A60" s="8"/>
      <c r="B60" s="50">
        <v>46146</v>
      </c>
      <c r="C60" s="11"/>
      <c r="D60" s="11"/>
      <c r="E60" s="11"/>
      <c r="F60" s="11"/>
      <c r="G60" s="11"/>
      <c r="H60" s="11"/>
      <c r="I60" s="11"/>
      <c r="J60" s="11"/>
      <c r="K60" s="13"/>
      <c r="L60" s="13"/>
      <c r="M60" s="13"/>
      <c r="N60" s="85"/>
      <c r="O60" s="11"/>
      <c r="P60" s="79">
        <f t="shared" si="3"/>
        <v>888200</v>
      </c>
      <c r="Q60" s="11"/>
      <c r="R60" s="11"/>
      <c r="S60" s="89">
        <v>1</v>
      </c>
      <c r="T60" s="11">
        <v>12000</v>
      </c>
      <c r="U60" s="11"/>
      <c r="V60" s="11"/>
      <c r="W60" s="14">
        <f t="shared" si="2"/>
        <v>1201650</v>
      </c>
      <c r="X60" s="54">
        <f t="shared" si="0"/>
        <v>313450</v>
      </c>
      <c r="Y60" s="59"/>
      <c r="Z60" s="59">
        <v>2</v>
      </c>
      <c r="AA60" s="4">
        <f t="shared" si="4"/>
        <v>1205</v>
      </c>
    </row>
    <row r="61" spans="1:27" s="5" customFormat="1" ht="33.950000000000003" customHeight="1" x14ac:dyDescent="0.3">
      <c r="A61" s="8"/>
      <c r="B61" s="50">
        <v>46147</v>
      </c>
      <c r="C61" s="11"/>
      <c r="D61" s="11"/>
      <c r="E61" s="11"/>
      <c r="F61" s="11"/>
      <c r="G61" s="11"/>
      <c r="H61" s="11"/>
      <c r="I61" s="11"/>
      <c r="J61" s="11"/>
      <c r="K61" s="13"/>
      <c r="L61" s="13"/>
      <c r="M61" s="13"/>
      <c r="N61" s="85"/>
      <c r="O61" s="11"/>
      <c r="P61" s="79">
        <f t="shared" si="3"/>
        <v>888200</v>
      </c>
      <c r="Q61" s="11"/>
      <c r="R61" s="11"/>
      <c r="S61" s="89">
        <v>3</v>
      </c>
      <c r="T61" s="11">
        <v>18000</v>
      </c>
      <c r="U61" s="11"/>
      <c r="V61" s="11"/>
      <c r="W61" s="14">
        <f t="shared" si="2"/>
        <v>1219650</v>
      </c>
      <c r="X61" s="54">
        <f t="shared" si="0"/>
        <v>331450</v>
      </c>
      <c r="Y61" s="59"/>
      <c r="Z61" s="59"/>
      <c r="AA61" s="4">
        <f t="shared" si="4"/>
        <v>1200</v>
      </c>
    </row>
    <row r="62" spans="1:27" s="5" customFormat="1" ht="33.950000000000003" customHeight="1" x14ac:dyDescent="0.3">
      <c r="A62" s="8" t="s">
        <v>44</v>
      </c>
      <c r="B62" s="50">
        <v>46148</v>
      </c>
      <c r="C62" s="11">
        <v>150</v>
      </c>
      <c r="D62" s="11"/>
      <c r="E62" s="11"/>
      <c r="F62" s="11"/>
      <c r="G62" s="11"/>
      <c r="H62" s="11"/>
      <c r="I62" s="11"/>
      <c r="J62" s="11"/>
      <c r="K62" s="13"/>
      <c r="L62" s="13"/>
      <c r="M62" s="13"/>
      <c r="N62" s="85">
        <v>6000</v>
      </c>
      <c r="O62" s="11"/>
      <c r="P62" s="79">
        <f t="shared" si="3"/>
        <v>894200</v>
      </c>
      <c r="Q62" s="11">
        <v>150</v>
      </c>
      <c r="R62" s="11">
        <f>Q62*250</f>
        <v>37500</v>
      </c>
      <c r="S62" s="89"/>
      <c r="T62" s="11"/>
      <c r="U62" s="11"/>
      <c r="V62" s="11"/>
      <c r="W62" s="14">
        <f t="shared" si="2"/>
        <v>1257150</v>
      </c>
      <c r="X62" s="54">
        <f t="shared" si="0"/>
        <v>362950</v>
      </c>
      <c r="Y62" s="59"/>
      <c r="Z62" s="59">
        <v>1</v>
      </c>
      <c r="AA62" s="4">
        <f t="shared" si="4"/>
        <v>1200</v>
      </c>
    </row>
    <row r="63" spans="1:27" s="5" customFormat="1" ht="33.950000000000003" customHeight="1" x14ac:dyDescent="0.3">
      <c r="A63" s="8" t="s">
        <v>45</v>
      </c>
      <c r="B63" s="50">
        <v>46149</v>
      </c>
      <c r="C63" s="11">
        <v>40</v>
      </c>
      <c r="D63" s="11"/>
      <c r="E63" s="11"/>
      <c r="F63" s="11"/>
      <c r="G63" s="11"/>
      <c r="H63" s="11"/>
      <c r="I63" s="11"/>
      <c r="J63" s="11"/>
      <c r="K63" s="13"/>
      <c r="L63" s="13"/>
      <c r="M63" s="13"/>
      <c r="N63" s="85"/>
      <c r="O63" s="11"/>
      <c r="P63" s="79">
        <f t="shared" si="3"/>
        <v>894200</v>
      </c>
      <c r="Q63" s="11">
        <v>40</v>
      </c>
      <c r="R63" s="11">
        <f>Q63*250</f>
        <v>10000</v>
      </c>
      <c r="S63" s="89"/>
      <c r="T63" s="11"/>
      <c r="U63" s="11"/>
      <c r="V63" s="11"/>
      <c r="W63" s="14">
        <f t="shared" si="2"/>
        <v>1267150</v>
      </c>
      <c r="X63" s="54">
        <f t="shared" si="0"/>
        <v>372950</v>
      </c>
      <c r="Y63" s="59"/>
      <c r="Z63" s="59"/>
      <c r="AA63" s="4">
        <f t="shared" si="4"/>
        <v>1199</v>
      </c>
    </row>
    <row r="64" spans="1:27" s="5" customFormat="1" ht="33.950000000000003" customHeight="1" x14ac:dyDescent="0.3">
      <c r="A64" s="8" t="s">
        <v>39</v>
      </c>
      <c r="B64" s="50">
        <v>46151</v>
      </c>
      <c r="C64" s="11"/>
      <c r="D64" s="11"/>
      <c r="E64" s="11"/>
      <c r="F64" s="11">
        <v>103</v>
      </c>
      <c r="G64" s="11"/>
      <c r="H64" s="11"/>
      <c r="I64" s="11"/>
      <c r="J64" s="11"/>
      <c r="K64" s="13"/>
      <c r="L64" s="13"/>
      <c r="M64" s="13"/>
      <c r="N64" s="85"/>
      <c r="O64" s="11"/>
      <c r="P64" s="79">
        <f t="shared" si="3"/>
        <v>894200</v>
      </c>
      <c r="Q64" s="11"/>
      <c r="R64" s="11"/>
      <c r="S64" s="89">
        <v>100</v>
      </c>
      <c r="T64" s="11">
        <v>80000</v>
      </c>
      <c r="U64" s="11"/>
      <c r="V64" s="11"/>
      <c r="W64" s="14">
        <f t="shared" si="2"/>
        <v>1347150</v>
      </c>
      <c r="X64" s="54">
        <f t="shared" si="0"/>
        <v>452950</v>
      </c>
      <c r="Y64" s="59"/>
      <c r="Z64" s="59"/>
      <c r="AA64" s="4">
        <f t="shared" si="4"/>
        <v>1202</v>
      </c>
    </row>
    <row r="65" spans="1:27" s="5" customFormat="1" ht="33.950000000000003" customHeight="1" x14ac:dyDescent="0.3">
      <c r="A65" s="8" t="s">
        <v>47</v>
      </c>
      <c r="B65" s="50">
        <v>46152</v>
      </c>
      <c r="C65" s="11"/>
      <c r="D65" s="11"/>
      <c r="E65" s="11"/>
      <c r="F65" s="11"/>
      <c r="G65" s="11"/>
      <c r="H65" s="11"/>
      <c r="I65" s="11"/>
      <c r="J65" s="11">
        <v>2</v>
      </c>
      <c r="K65" s="13">
        <v>26800</v>
      </c>
      <c r="L65" s="13"/>
      <c r="M65" s="13"/>
      <c r="N65" s="85"/>
      <c r="O65" s="11"/>
      <c r="P65" s="79">
        <f t="shared" si="3"/>
        <v>921000</v>
      </c>
      <c r="Q65" s="11"/>
      <c r="R65" s="11"/>
      <c r="S65" s="89">
        <v>30</v>
      </c>
      <c r="T65" s="11">
        <v>55000</v>
      </c>
      <c r="U65" s="11"/>
      <c r="V65" s="11"/>
      <c r="W65" s="14">
        <f t="shared" si="2"/>
        <v>1402150</v>
      </c>
      <c r="X65" s="54">
        <f t="shared" si="0"/>
        <v>481150</v>
      </c>
      <c r="Y65" s="59">
        <v>2</v>
      </c>
      <c r="Z65" s="59">
        <v>4</v>
      </c>
      <c r="AA65" s="4">
        <f t="shared" si="4"/>
        <v>1172</v>
      </c>
    </row>
    <row r="66" spans="1:27" s="5" customFormat="1" ht="33.950000000000003" customHeight="1" x14ac:dyDescent="0.3">
      <c r="A66" s="8" t="s">
        <v>41</v>
      </c>
      <c r="B66" s="50">
        <v>46153</v>
      </c>
      <c r="C66" s="11">
        <v>365</v>
      </c>
      <c r="D66" s="11">
        <v>365</v>
      </c>
      <c r="E66" s="11"/>
      <c r="F66" s="11">
        <v>40</v>
      </c>
      <c r="G66" s="11"/>
      <c r="H66" s="11"/>
      <c r="I66" s="11"/>
      <c r="J66" s="11"/>
      <c r="K66" s="13"/>
      <c r="L66" s="13"/>
      <c r="M66" s="13"/>
      <c r="N66" s="85"/>
      <c r="O66" s="11"/>
      <c r="P66" s="79">
        <f t="shared" si="3"/>
        <v>921000</v>
      </c>
      <c r="Q66" s="11"/>
      <c r="R66" s="11"/>
      <c r="S66" s="89">
        <v>4</v>
      </c>
      <c r="T66" s="11">
        <v>18000</v>
      </c>
      <c r="U66" s="11"/>
      <c r="V66" s="11"/>
      <c r="W66" s="14">
        <f t="shared" si="2"/>
        <v>1420150</v>
      </c>
      <c r="X66" s="54">
        <f t="shared" si="0"/>
        <v>499150</v>
      </c>
      <c r="Y66" s="59"/>
      <c r="Z66" s="59"/>
      <c r="AA66" s="4">
        <f t="shared" si="4"/>
        <v>1202</v>
      </c>
    </row>
    <row r="67" spans="1:27" s="5" customFormat="1" ht="33.950000000000003" customHeight="1" x14ac:dyDescent="0.3">
      <c r="A67" s="8" t="s">
        <v>38</v>
      </c>
      <c r="B67" s="50">
        <v>46154</v>
      </c>
      <c r="C67" s="11"/>
      <c r="D67" s="11"/>
      <c r="E67" s="11"/>
      <c r="F67" s="11"/>
      <c r="G67" s="11"/>
      <c r="H67" s="11"/>
      <c r="I67" s="11"/>
      <c r="J67" s="11">
        <v>2</v>
      </c>
      <c r="K67" s="13">
        <v>26800</v>
      </c>
      <c r="L67" s="13"/>
      <c r="M67" s="13"/>
      <c r="N67" s="85"/>
      <c r="O67" s="11"/>
      <c r="P67" s="79">
        <f t="shared" si="3"/>
        <v>947800</v>
      </c>
      <c r="Q67" s="11"/>
      <c r="R67" s="11"/>
      <c r="S67" s="89"/>
      <c r="T67" s="11"/>
      <c r="U67" s="11"/>
      <c r="V67" s="11"/>
      <c r="W67" s="14">
        <f t="shared" si="2"/>
        <v>1420150</v>
      </c>
      <c r="X67" s="54">
        <f t="shared" si="0"/>
        <v>472350</v>
      </c>
      <c r="Y67" s="59"/>
      <c r="Z67" s="59"/>
      <c r="AA67" s="4">
        <f t="shared" si="4"/>
        <v>1202</v>
      </c>
    </row>
    <row r="68" spans="1:27" s="5" customFormat="1" ht="33.950000000000003" customHeight="1" x14ac:dyDescent="0.3">
      <c r="A68" s="8" t="s">
        <v>44</v>
      </c>
      <c r="B68" s="50">
        <v>46155</v>
      </c>
      <c r="C68" s="11"/>
      <c r="D68" s="11"/>
      <c r="E68" s="11"/>
      <c r="F68" s="11"/>
      <c r="G68" s="11"/>
      <c r="H68" s="11"/>
      <c r="I68" s="11"/>
      <c r="J68" s="11"/>
      <c r="K68" s="13"/>
      <c r="L68" s="13">
        <v>2</v>
      </c>
      <c r="M68" s="13">
        <v>25000</v>
      </c>
      <c r="N68" s="85"/>
      <c r="O68" s="11"/>
      <c r="P68" s="79">
        <f t="shared" si="3"/>
        <v>972800</v>
      </c>
      <c r="Q68" s="11"/>
      <c r="R68" s="11"/>
      <c r="S68" s="89">
        <v>15</v>
      </c>
      <c r="T68" s="11">
        <v>30000</v>
      </c>
      <c r="U68" s="11"/>
      <c r="V68" s="11"/>
      <c r="W68" s="14">
        <f t="shared" si="2"/>
        <v>1450150</v>
      </c>
      <c r="X68" s="54">
        <f t="shared" si="0"/>
        <v>477350</v>
      </c>
      <c r="Y68" s="59"/>
      <c r="Z68" s="59">
        <v>2</v>
      </c>
      <c r="AA68" s="4">
        <f t="shared" si="4"/>
        <v>1189</v>
      </c>
    </row>
    <row r="69" spans="1:27" s="5" customFormat="1" ht="33.950000000000003" customHeight="1" x14ac:dyDescent="0.3">
      <c r="A69" s="8" t="s">
        <v>45</v>
      </c>
      <c r="B69" s="50">
        <v>46156</v>
      </c>
      <c r="C69" s="11"/>
      <c r="D69" s="11"/>
      <c r="E69" s="11"/>
      <c r="F69" s="11"/>
      <c r="G69" s="11"/>
      <c r="H69" s="11"/>
      <c r="I69" s="11"/>
      <c r="J69" s="11"/>
      <c r="K69" s="13"/>
      <c r="L69" s="13"/>
      <c r="M69" s="13"/>
      <c r="N69" s="85"/>
      <c r="O69" s="11"/>
      <c r="P69" s="79">
        <f t="shared" si="3"/>
        <v>972800</v>
      </c>
      <c r="Q69" s="11"/>
      <c r="R69" s="11"/>
      <c r="S69" s="89">
        <v>10</v>
      </c>
      <c r="T69" s="11">
        <v>15000</v>
      </c>
      <c r="U69" s="11"/>
      <c r="V69" s="11"/>
      <c r="W69" s="14">
        <f t="shared" si="2"/>
        <v>1465150</v>
      </c>
      <c r="X69" s="54">
        <f t="shared" si="0"/>
        <v>492350</v>
      </c>
      <c r="Y69" s="59"/>
      <c r="Z69" s="59"/>
      <c r="AA69" s="4">
        <f t="shared" ref="AA69:AA100" si="5">AA68+F69+L69-S69-Y68-Z68</f>
        <v>1177</v>
      </c>
    </row>
    <row r="70" spans="1:27" s="5" customFormat="1" ht="33.950000000000003" customHeight="1" x14ac:dyDescent="0.3">
      <c r="A70" s="8" t="s">
        <v>39</v>
      </c>
      <c r="B70" s="50">
        <v>46158</v>
      </c>
      <c r="C70" s="11"/>
      <c r="D70" s="11"/>
      <c r="E70" s="11"/>
      <c r="F70" s="11"/>
      <c r="G70" s="11"/>
      <c r="H70" s="11"/>
      <c r="I70" s="11"/>
      <c r="J70" s="11"/>
      <c r="K70" s="13"/>
      <c r="L70" s="13"/>
      <c r="M70" s="13"/>
      <c r="N70" s="85">
        <v>10000</v>
      </c>
      <c r="O70" s="11"/>
      <c r="P70" s="79">
        <f t="shared" si="3"/>
        <v>982800</v>
      </c>
      <c r="Q70" s="11">
        <v>30</v>
      </c>
      <c r="R70" s="11">
        <v>7500</v>
      </c>
      <c r="S70" s="89"/>
      <c r="T70" s="11"/>
      <c r="U70" s="11"/>
      <c r="V70" s="11"/>
      <c r="W70" s="14">
        <f t="shared" ref="W70:W108" si="6">R70+T70+U70+V70+W69</f>
        <v>1472650</v>
      </c>
      <c r="X70" s="54">
        <f t="shared" si="0"/>
        <v>489850</v>
      </c>
      <c r="Y70" s="59"/>
      <c r="Z70" s="59">
        <v>3</v>
      </c>
      <c r="AA70" s="4">
        <f t="shared" si="5"/>
        <v>1177</v>
      </c>
    </row>
    <row r="71" spans="1:27" s="5" customFormat="1" ht="33.950000000000003" customHeight="1" x14ac:dyDescent="0.3">
      <c r="A71" s="8" t="s">
        <v>47</v>
      </c>
      <c r="B71" s="50">
        <v>46159</v>
      </c>
      <c r="C71" s="11">
        <v>30</v>
      </c>
      <c r="D71" s="11">
        <v>0</v>
      </c>
      <c r="E71" s="11"/>
      <c r="F71" s="11">
        <v>169</v>
      </c>
      <c r="G71" s="11"/>
      <c r="H71" s="11"/>
      <c r="I71" s="11"/>
      <c r="J71" s="11">
        <v>3</v>
      </c>
      <c r="K71" s="13">
        <v>35225</v>
      </c>
      <c r="L71" s="13"/>
      <c r="M71" s="13"/>
      <c r="N71" s="85"/>
      <c r="O71" s="11"/>
      <c r="P71" s="79">
        <f t="shared" ref="P71:P108" si="7">I71+K71+M71+N71+O71+P70</f>
        <v>1018025</v>
      </c>
      <c r="Q71" s="11">
        <v>30</v>
      </c>
      <c r="R71" s="11">
        <v>7500</v>
      </c>
      <c r="S71" s="89"/>
      <c r="T71" s="11"/>
      <c r="U71" s="11"/>
      <c r="V71" s="11"/>
      <c r="W71" s="14">
        <f t="shared" si="6"/>
        <v>1480150</v>
      </c>
      <c r="X71" s="54">
        <f t="shared" si="0"/>
        <v>462125</v>
      </c>
      <c r="Y71" s="59">
        <v>2</v>
      </c>
      <c r="Z71" s="59"/>
      <c r="AA71" s="4">
        <f t="shared" si="5"/>
        <v>1343</v>
      </c>
    </row>
    <row r="72" spans="1:27" s="5" customFormat="1" ht="33.950000000000003" customHeight="1" x14ac:dyDescent="0.3">
      <c r="A72" s="8" t="s">
        <v>41</v>
      </c>
      <c r="B72" s="50">
        <v>46160</v>
      </c>
      <c r="C72" s="11">
        <v>313</v>
      </c>
      <c r="D72" s="11">
        <v>313</v>
      </c>
      <c r="E72" s="11"/>
      <c r="F72" s="11"/>
      <c r="G72" s="11"/>
      <c r="H72" s="11"/>
      <c r="I72" s="11"/>
      <c r="J72" s="11"/>
      <c r="K72" s="13"/>
      <c r="L72" s="13"/>
      <c r="M72" s="13"/>
      <c r="N72" s="85"/>
      <c r="O72" s="11"/>
      <c r="P72" s="79">
        <f t="shared" si="7"/>
        <v>1018025</v>
      </c>
      <c r="Q72" s="11"/>
      <c r="R72" s="11"/>
      <c r="S72" s="89"/>
      <c r="T72" s="11"/>
      <c r="U72" s="11"/>
      <c r="V72" s="11"/>
      <c r="W72" s="14">
        <f t="shared" si="6"/>
        <v>1480150</v>
      </c>
      <c r="X72" s="54">
        <f t="shared" si="0"/>
        <v>462125</v>
      </c>
      <c r="Y72" s="59"/>
      <c r="Z72" s="59"/>
      <c r="AA72" s="4">
        <f t="shared" si="5"/>
        <v>1341</v>
      </c>
    </row>
    <row r="73" spans="1:27" s="5" customFormat="1" ht="33.950000000000003" customHeight="1" x14ac:dyDescent="0.3">
      <c r="A73" s="8"/>
      <c r="B73" s="50">
        <v>46161</v>
      </c>
      <c r="C73" s="11"/>
      <c r="D73" s="11"/>
      <c r="E73" s="11"/>
      <c r="F73" s="11">
        <v>54</v>
      </c>
      <c r="G73" s="11"/>
      <c r="H73" s="11"/>
      <c r="I73" s="11"/>
      <c r="J73" s="11"/>
      <c r="K73" s="13"/>
      <c r="L73" s="13"/>
      <c r="M73" s="13"/>
      <c r="N73" s="85"/>
      <c r="O73" s="11"/>
      <c r="P73" s="79">
        <f t="shared" si="7"/>
        <v>1018025</v>
      </c>
      <c r="Q73" s="11"/>
      <c r="R73" s="11"/>
      <c r="S73" s="89"/>
      <c r="T73" s="11"/>
      <c r="U73" s="11"/>
      <c r="V73" s="11"/>
      <c r="W73" s="14">
        <f t="shared" si="6"/>
        <v>1480150</v>
      </c>
      <c r="X73" s="54">
        <f t="shared" si="0"/>
        <v>462125</v>
      </c>
      <c r="Y73" s="59"/>
      <c r="Z73" s="59"/>
      <c r="AA73" s="4">
        <f t="shared" si="5"/>
        <v>1395</v>
      </c>
    </row>
    <row r="74" spans="1:27" s="5" customFormat="1" ht="33.950000000000003" customHeight="1" x14ac:dyDescent="0.3">
      <c r="A74" s="8" t="s">
        <v>44</v>
      </c>
      <c r="B74" s="50">
        <v>46162</v>
      </c>
      <c r="C74" s="11"/>
      <c r="D74" s="11"/>
      <c r="E74" s="11"/>
      <c r="F74" s="11">
        <v>40</v>
      </c>
      <c r="G74" s="11"/>
      <c r="H74" s="11"/>
      <c r="I74" s="11"/>
      <c r="J74" s="11"/>
      <c r="K74" s="13"/>
      <c r="L74" s="13"/>
      <c r="M74" s="13"/>
      <c r="N74" s="85"/>
      <c r="O74" s="11"/>
      <c r="P74" s="79">
        <f t="shared" si="7"/>
        <v>1018025</v>
      </c>
      <c r="Q74" s="11"/>
      <c r="R74" s="11"/>
      <c r="S74" s="89">
        <v>250</v>
      </c>
      <c r="T74" s="11">
        <f>700*250</f>
        <v>175000</v>
      </c>
      <c r="U74" s="11"/>
      <c r="V74" s="11"/>
      <c r="W74" s="14">
        <f t="shared" si="6"/>
        <v>1655150</v>
      </c>
      <c r="X74" s="54">
        <f t="shared" si="0"/>
        <v>637125</v>
      </c>
      <c r="Y74" s="59">
        <v>2</v>
      </c>
      <c r="Z74" s="59"/>
      <c r="AA74" s="4">
        <f t="shared" si="5"/>
        <v>1185</v>
      </c>
    </row>
    <row r="75" spans="1:27" s="5" customFormat="1" ht="33.950000000000003" customHeight="1" x14ac:dyDescent="0.3">
      <c r="A75" s="8" t="s">
        <v>45</v>
      </c>
      <c r="B75" s="50">
        <v>46163</v>
      </c>
      <c r="C75" s="11"/>
      <c r="D75" s="11"/>
      <c r="E75" s="11"/>
      <c r="F75" s="11"/>
      <c r="G75" s="11"/>
      <c r="H75" s="11"/>
      <c r="I75" s="11"/>
      <c r="J75" s="11"/>
      <c r="K75" s="13"/>
      <c r="L75" s="13"/>
      <c r="M75" s="13"/>
      <c r="N75" s="85"/>
      <c r="O75" s="11"/>
      <c r="P75" s="79">
        <f t="shared" si="7"/>
        <v>1018025</v>
      </c>
      <c r="Q75" s="11"/>
      <c r="R75" s="11"/>
      <c r="S75" s="89">
        <v>2</v>
      </c>
      <c r="T75" s="11">
        <v>9000</v>
      </c>
      <c r="U75" s="11"/>
      <c r="V75" s="11"/>
      <c r="W75" s="14">
        <f t="shared" si="6"/>
        <v>1664150</v>
      </c>
      <c r="X75" s="54">
        <f t="shared" si="0"/>
        <v>646125</v>
      </c>
      <c r="Y75" s="59"/>
      <c r="Z75" s="59">
        <v>1</v>
      </c>
      <c r="AA75" s="4">
        <f t="shared" si="5"/>
        <v>1181</v>
      </c>
    </row>
    <row r="76" spans="1:27" s="5" customFormat="1" ht="33.950000000000003" customHeight="1" x14ac:dyDescent="0.3">
      <c r="A76" s="8" t="s">
        <v>39</v>
      </c>
      <c r="B76" s="50">
        <v>46165</v>
      </c>
      <c r="C76" s="11"/>
      <c r="D76" s="11"/>
      <c r="E76" s="11"/>
      <c r="F76" s="11"/>
      <c r="G76" s="11"/>
      <c r="H76" s="11"/>
      <c r="I76" s="11">
        <v>0</v>
      </c>
      <c r="J76" s="46">
        <v>4.5</v>
      </c>
      <c r="K76" s="13">
        <v>58300</v>
      </c>
      <c r="L76" s="13"/>
      <c r="M76" s="13"/>
      <c r="N76" s="85"/>
      <c r="O76" s="11"/>
      <c r="P76" s="79">
        <f t="shared" si="7"/>
        <v>1076325</v>
      </c>
      <c r="Q76" s="11"/>
      <c r="R76" s="11"/>
      <c r="S76" s="89"/>
      <c r="T76" s="11"/>
      <c r="U76" s="11"/>
      <c r="V76" s="11"/>
      <c r="W76" s="14">
        <f t="shared" si="6"/>
        <v>1664150</v>
      </c>
      <c r="X76" s="54">
        <f t="shared" si="0"/>
        <v>587825</v>
      </c>
      <c r="Y76" s="59">
        <v>6</v>
      </c>
      <c r="Z76" s="59"/>
      <c r="AA76" s="4">
        <f t="shared" si="5"/>
        <v>1180</v>
      </c>
    </row>
    <row r="77" spans="1:27" s="5" customFormat="1" ht="33.950000000000003" customHeight="1" x14ac:dyDescent="0.3">
      <c r="A77" s="8" t="s">
        <v>41</v>
      </c>
      <c r="B77" s="50">
        <v>46167</v>
      </c>
      <c r="C77" s="11"/>
      <c r="D77" s="11"/>
      <c r="E77" s="11"/>
      <c r="F77" s="11"/>
      <c r="G77" s="11"/>
      <c r="H77" s="11"/>
      <c r="I77" s="11"/>
      <c r="J77" s="11"/>
      <c r="K77" s="13"/>
      <c r="L77" s="13"/>
      <c r="M77" s="13"/>
      <c r="N77" s="85"/>
      <c r="O77" s="11"/>
      <c r="P77" s="79">
        <f t="shared" si="7"/>
        <v>1076325</v>
      </c>
      <c r="Q77" s="11"/>
      <c r="R77" s="11"/>
      <c r="S77" s="89">
        <v>3</v>
      </c>
      <c r="T77" s="11">
        <v>10000</v>
      </c>
      <c r="U77" s="11"/>
      <c r="V77" s="11"/>
      <c r="W77" s="14">
        <f t="shared" si="6"/>
        <v>1674150</v>
      </c>
      <c r="X77" s="54">
        <f t="shared" si="0"/>
        <v>597825</v>
      </c>
      <c r="Y77" s="59"/>
      <c r="Z77" s="59">
        <v>2</v>
      </c>
      <c r="AA77" s="4">
        <f t="shared" si="5"/>
        <v>1171</v>
      </c>
    </row>
    <row r="78" spans="1:27" s="5" customFormat="1" ht="33.950000000000003" customHeight="1" x14ac:dyDescent="0.3">
      <c r="A78" s="8"/>
      <c r="B78" s="50">
        <v>46168</v>
      </c>
      <c r="C78" s="11">
        <v>331</v>
      </c>
      <c r="D78" s="11">
        <v>331</v>
      </c>
      <c r="E78" s="11"/>
      <c r="F78" s="11"/>
      <c r="G78" s="11"/>
      <c r="H78" s="11"/>
      <c r="I78" s="11"/>
      <c r="J78" s="11"/>
      <c r="K78" s="13"/>
      <c r="L78" s="13"/>
      <c r="M78" s="13"/>
      <c r="N78" s="85"/>
      <c r="O78" s="11"/>
      <c r="P78" s="79">
        <f t="shared" si="7"/>
        <v>1076325</v>
      </c>
      <c r="Q78" s="11"/>
      <c r="R78" s="11"/>
      <c r="S78" s="89">
        <v>2</v>
      </c>
      <c r="T78" s="11">
        <v>9000</v>
      </c>
      <c r="U78" s="11"/>
      <c r="V78" s="11"/>
      <c r="W78" s="14">
        <f t="shared" si="6"/>
        <v>1683150</v>
      </c>
      <c r="X78" s="54">
        <f t="shared" si="0"/>
        <v>606825</v>
      </c>
      <c r="Y78" s="59"/>
      <c r="Z78" s="59"/>
      <c r="AA78" s="4">
        <f t="shared" si="5"/>
        <v>1167</v>
      </c>
    </row>
    <row r="79" spans="1:27" s="5" customFormat="1" ht="33.950000000000003" customHeight="1" x14ac:dyDescent="0.3">
      <c r="A79" s="8"/>
      <c r="B79" s="50">
        <v>46172</v>
      </c>
      <c r="C79" s="11"/>
      <c r="D79" s="11"/>
      <c r="E79" s="11"/>
      <c r="F79" s="11"/>
      <c r="G79" s="11"/>
      <c r="H79" s="11"/>
      <c r="I79" s="11"/>
      <c r="J79" s="11">
        <v>4</v>
      </c>
      <c r="K79" s="13">
        <v>51300</v>
      </c>
      <c r="L79" s="13"/>
      <c r="M79" s="13"/>
      <c r="N79" s="85"/>
      <c r="O79" s="11"/>
      <c r="P79" s="79">
        <f t="shared" si="7"/>
        <v>1127625</v>
      </c>
      <c r="Q79" s="11"/>
      <c r="R79" s="11"/>
      <c r="S79" s="89"/>
      <c r="T79" s="11"/>
      <c r="U79" s="11"/>
      <c r="V79" s="11"/>
      <c r="W79" s="14">
        <f t="shared" si="6"/>
        <v>1683150</v>
      </c>
      <c r="X79" s="54">
        <f t="shared" si="0"/>
        <v>555525</v>
      </c>
      <c r="Y79" s="59"/>
      <c r="Z79" s="59">
        <v>3</v>
      </c>
      <c r="AA79" s="4">
        <f t="shared" si="5"/>
        <v>1167</v>
      </c>
    </row>
    <row r="80" spans="1:27" s="5" customFormat="1" ht="33.950000000000003" customHeight="1" x14ac:dyDescent="0.3">
      <c r="A80" s="8"/>
      <c r="B80" s="50">
        <v>46174</v>
      </c>
      <c r="C80" s="11">
        <v>370</v>
      </c>
      <c r="D80" s="11">
        <v>370</v>
      </c>
      <c r="E80" s="11"/>
      <c r="F80" s="11">
        <v>245</v>
      </c>
      <c r="G80" s="11"/>
      <c r="H80" s="11"/>
      <c r="I80" s="11"/>
      <c r="J80" s="11"/>
      <c r="K80" s="13"/>
      <c r="L80" s="49">
        <v>6</v>
      </c>
      <c r="M80" s="49">
        <v>65000</v>
      </c>
      <c r="N80" s="85"/>
      <c r="O80" s="11"/>
      <c r="P80" s="79">
        <f t="shared" si="7"/>
        <v>1192625</v>
      </c>
      <c r="Q80" s="11"/>
      <c r="R80" s="11"/>
      <c r="S80" s="89">
        <v>204</v>
      </c>
      <c r="T80" s="11">
        <v>135000</v>
      </c>
      <c r="U80" s="11"/>
      <c r="V80" s="11"/>
      <c r="W80" s="14">
        <f t="shared" si="6"/>
        <v>1818150</v>
      </c>
      <c r="X80" s="54">
        <f t="shared" si="0"/>
        <v>625525</v>
      </c>
      <c r="Y80" s="59"/>
      <c r="Z80" s="59"/>
      <c r="AA80" s="4">
        <f t="shared" si="5"/>
        <v>1211</v>
      </c>
    </row>
    <row r="81" spans="1:27" s="5" customFormat="1" ht="33.950000000000003" customHeight="1" x14ac:dyDescent="0.3">
      <c r="A81" s="8"/>
      <c r="B81" s="50">
        <v>46176</v>
      </c>
      <c r="C81" s="11"/>
      <c r="D81" s="11"/>
      <c r="E81" s="11"/>
      <c r="F81" s="11"/>
      <c r="G81" s="11"/>
      <c r="H81" s="11"/>
      <c r="I81" s="11"/>
      <c r="J81" s="11"/>
      <c r="K81" s="13"/>
      <c r="L81" s="49"/>
      <c r="M81" s="49"/>
      <c r="N81" s="85"/>
      <c r="O81" s="11"/>
      <c r="P81" s="79">
        <f t="shared" si="7"/>
        <v>1192625</v>
      </c>
      <c r="Q81" s="11"/>
      <c r="R81" s="11"/>
      <c r="S81" s="89">
        <v>40</v>
      </c>
      <c r="T81" s="11">
        <v>40000</v>
      </c>
      <c r="U81" s="11"/>
      <c r="V81" s="11"/>
      <c r="W81" s="14">
        <f t="shared" si="6"/>
        <v>1858150</v>
      </c>
      <c r="X81" s="54">
        <f t="shared" si="0"/>
        <v>665525</v>
      </c>
      <c r="Y81" s="59"/>
      <c r="Z81" s="59">
        <v>5</v>
      </c>
      <c r="AA81" s="4">
        <f t="shared" si="5"/>
        <v>1171</v>
      </c>
    </row>
    <row r="82" spans="1:27" s="5" customFormat="1" ht="33.950000000000003" customHeight="1" x14ac:dyDescent="0.3">
      <c r="A82" s="8"/>
      <c r="B82" s="50">
        <v>46182</v>
      </c>
      <c r="C82" s="11">
        <v>321</v>
      </c>
      <c r="D82" s="11">
        <v>321</v>
      </c>
      <c r="E82" s="11"/>
      <c r="F82" s="11">
        <v>201</v>
      </c>
      <c r="G82" s="11"/>
      <c r="H82" s="11"/>
      <c r="I82" s="11"/>
      <c r="J82" s="11">
        <v>4.5</v>
      </c>
      <c r="K82" s="13">
        <v>58700</v>
      </c>
      <c r="L82" s="13"/>
      <c r="M82" s="13"/>
      <c r="N82" s="85"/>
      <c r="O82" s="11"/>
      <c r="P82" s="79">
        <f t="shared" si="7"/>
        <v>1251325</v>
      </c>
      <c r="Q82" s="11"/>
      <c r="R82" s="11"/>
      <c r="S82" s="89"/>
      <c r="T82" s="11"/>
      <c r="U82" s="11"/>
      <c r="V82" s="11"/>
      <c r="W82" s="14">
        <f t="shared" si="6"/>
        <v>1858150</v>
      </c>
      <c r="X82" s="54">
        <f t="shared" si="0"/>
        <v>606825</v>
      </c>
      <c r="Y82" s="59"/>
      <c r="Z82" s="59"/>
      <c r="AA82" s="4">
        <f t="shared" si="5"/>
        <v>1367</v>
      </c>
    </row>
    <row r="83" spans="1:27" s="5" customFormat="1" ht="33.950000000000003" customHeight="1" x14ac:dyDescent="0.3">
      <c r="A83" s="8"/>
      <c r="B83" s="50">
        <v>46184</v>
      </c>
      <c r="C83" s="11"/>
      <c r="D83" s="11"/>
      <c r="E83" s="11"/>
      <c r="F83" s="11"/>
      <c r="G83" s="11"/>
      <c r="H83" s="11"/>
      <c r="I83" s="11"/>
      <c r="J83" s="11"/>
      <c r="K83" s="13"/>
      <c r="L83" s="13"/>
      <c r="M83" s="13"/>
      <c r="N83" s="85">
        <f>27000+3000+3500+5000+2000</f>
        <v>40500</v>
      </c>
      <c r="O83" s="11"/>
      <c r="P83" s="79">
        <f t="shared" si="7"/>
        <v>1291825</v>
      </c>
      <c r="Q83" s="11"/>
      <c r="R83" s="11"/>
      <c r="S83" s="89"/>
      <c r="T83" s="11"/>
      <c r="U83" s="11"/>
      <c r="V83" s="11"/>
      <c r="W83" s="14">
        <f t="shared" si="6"/>
        <v>1858150</v>
      </c>
      <c r="X83" s="54">
        <f t="shared" ref="X83:X108" si="8">W83-P83</f>
        <v>566325</v>
      </c>
      <c r="Y83" s="59"/>
      <c r="Z83" s="59"/>
      <c r="AA83" s="4">
        <f t="shared" si="5"/>
        <v>1367</v>
      </c>
    </row>
    <row r="84" spans="1:27" s="5" customFormat="1" ht="33.950000000000003" customHeight="1" x14ac:dyDescent="0.3">
      <c r="A84" s="8"/>
      <c r="B84" s="50">
        <v>46189</v>
      </c>
      <c r="C84" s="11">
        <v>250</v>
      </c>
      <c r="D84" s="11">
        <v>0</v>
      </c>
      <c r="E84" s="11"/>
      <c r="F84" s="11">
        <v>241</v>
      </c>
      <c r="G84" s="11"/>
      <c r="H84" s="11"/>
      <c r="I84" s="11"/>
      <c r="J84" s="11">
        <v>4</v>
      </c>
      <c r="K84" s="13">
        <v>51250</v>
      </c>
      <c r="L84" s="13"/>
      <c r="M84" s="13"/>
      <c r="N84" s="85"/>
      <c r="O84" s="11"/>
      <c r="P84" s="79">
        <f t="shared" si="7"/>
        <v>1343075</v>
      </c>
      <c r="Q84" s="11">
        <v>250</v>
      </c>
      <c r="R84" s="11">
        <v>50000</v>
      </c>
      <c r="S84" s="89"/>
      <c r="T84" s="11"/>
      <c r="U84" s="11"/>
      <c r="V84" s="11"/>
      <c r="W84" s="14">
        <f t="shared" si="6"/>
        <v>1908150</v>
      </c>
      <c r="X84" s="54">
        <f t="shared" si="8"/>
        <v>565075</v>
      </c>
      <c r="Y84" s="59"/>
      <c r="Z84" s="59"/>
      <c r="AA84" s="4">
        <f t="shared" si="5"/>
        <v>1608</v>
      </c>
    </row>
    <row r="85" spans="1:27" s="5" customFormat="1" ht="33.950000000000003" customHeight="1" x14ac:dyDescent="0.3">
      <c r="A85" s="8"/>
      <c r="B85" s="50">
        <v>46190</v>
      </c>
      <c r="C85" s="11">
        <v>60</v>
      </c>
      <c r="D85" s="11">
        <v>0</v>
      </c>
      <c r="E85" s="11"/>
      <c r="F85" s="11"/>
      <c r="G85" s="11"/>
      <c r="H85" s="11"/>
      <c r="I85" s="11"/>
      <c r="J85" s="11"/>
      <c r="K85" s="13"/>
      <c r="L85" s="13">
        <v>15</v>
      </c>
      <c r="M85" s="13">
        <v>63000</v>
      </c>
      <c r="N85" s="85"/>
      <c r="O85" s="11"/>
      <c r="P85" s="79">
        <f t="shared" si="7"/>
        <v>1406075</v>
      </c>
      <c r="Q85" s="11">
        <v>60</v>
      </c>
      <c r="R85" s="11">
        <v>15000</v>
      </c>
      <c r="S85" s="89"/>
      <c r="T85" s="11"/>
      <c r="U85" s="11"/>
      <c r="V85" s="11"/>
      <c r="W85" s="14">
        <f t="shared" si="6"/>
        <v>1923150</v>
      </c>
      <c r="X85" s="54">
        <f t="shared" si="8"/>
        <v>517075</v>
      </c>
      <c r="Y85" s="59">
        <v>2</v>
      </c>
      <c r="Z85" s="59">
        <v>2</v>
      </c>
      <c r="AA85" s="4">
        <f t="shared" si="5"/>
        <v>1623</v>
      </c>
    </row>
    <row r="86" spans="1:27" s="5" customFormat="1" ht="33.950000000000003" customHeight="1" x14ac:dyDescent="0.3">
      <c r="A86" s="8"/>
      <c r="B86" s="50">
        <v>46192</v>
      </c>
      <c r="C86" s="11"/>
      <c r="D86" s="11"/>
      <c r="E86" s="11"/>
      <c r="F86" s="11"/>
      <c r="G86" s="11"/>
      <c r="H86" s="11"/>
      <c r="I86" s="11"/>
      <c r="J86" s="11">
        <v>5</v>
      </c>
      <c r="K86" s="13">
        <v>7600</v>
      </c>
      <c r="L86" s="13"/>
      <c r="M86" s="13"/>
      <c r="N86" s="85"/>
      <c r="O86" s="11"/>
      <c r="P86" s="79">
        <f t="shared" si="7"/>
        <v>1413675</v>
      </c>
      <c r="Q86" s="11"/>
      <c r="R86" s="11"/>
      <c r="S86" s="89"/>
      <c r="T86" s="11"/>
      <c r="U86" s="11"/>
      <c r="V86" s="11"/>
      <c r="W86" s="14">
        <f t="shared" si="6"/>
        <v>1923150</v>
      </c>
      <c r="X86" s="54">
        <f t="shared" si="8"/>
        <v>509475</v>
      </c>
      <c r="Y86" s="59"/>
      <c r="Z86" s="59">
        <v>6</v>
      </c>
      <c r="AA86" s="4">
        <f t="shared" si="5"/>
        <v>1619</v>
      </c>
    </row>
    <row r="87" spans="1:27" s="5" customFormat="1" ht="33.950000000000003" customHeight="1" x14ac:dyDescent="0.3">
      <c r="A87" s="8"/>
      <c r="B87" s="50">
        <v>46196</v>
      </c>
      <c r="C87" s="11"/>
      <c r="D87" s="11"/>
      <c r="E87" s="11"/>
      <c r="F87" s="11">
        <v>286</v>
      </c>
      <c r="G87" s="11"/>
      <c r="H87" s="11"/>
      <c r="I87" s="11"/>
      <c r="J87" s="11">
        <v>5</v>
      </c>
      <c r="K87" s="13">
        <v>64220</v>
      </c>
      <c r="L87" s="13"/>
      <c r="M87" s="13"/>
      <c r="N87" s="85"/>
      <c r="O87" s="11"/>
      <c r="P87" s="79">
        <f t="shared" si="7"/>
        <v>1477895</v>
      </c>
      <c r="Q87" s="11"/>
      <c r="R87" s="11"/>
      <c r="S87" s="89">
        <v>204</v>
      </c>
      <c r="T87" s="11">
        <v>135000</v>
      </c>
      <c r="U87" s="11"/>
      <c r="V87" s="11"/>
      <c r="W87" s="14">
        <f t="shared" si="6"/>
        <v>2058150</v>
      </c>
      <c r="X87" s="54">
        <f t="shared" si="8"/>
        <v>580255</v>
      </c>
      <c r="Y87" s="59">
        <v>2</v>
      </c>
      <c r="Z87" s="59">
        <v>5</v>
      </c>
      <c r="AA87" s="4">
        <f t="shared" si="5"/>
        <v>1695</v>
      </c>
    </row>
    <row r="88" spans="1:27" s="5" customFormat="1" ht="33.950000000000003" customHeight="1" x14ac:dyDescent="0.3">
      <c r="A88" s="8"/>
      <c r="B88" s="50">
        <v>46198</v>
      </c>
      <c r="C88" s="11"/>
      <c r="D88" s="11"/>
      <c r="E88" s="11"/>
      <c r="F88" s="11"/>
      <c r="G88" s="11"/>
      <c r="H88" s="11"/>
      <c r="I88" s="11"/>
      <c r="J88" s="11"/>
      <c r="K88" s="13"/>
      <c r="L88" s="13"/>
      <c r="M88" s="13"/>
      <c r="N88" s="85"/>
      <c r="O88" s="11"/>
      <c r="P88" s="79">
        <f t="shared" si="7"/>
        <v>1477895</v>
      </c>
      <c r="Q88" s="11"/>
      <c r="R88" s="11"/>
      <c r="S88" s="89">
        <v>51</v>
      </c>
      <c r="T88" s="11">
        <v>40000</v>
      </c>
      <c r="U88" s="11"/>
      <c r="V88" s="11"/>
      <c r="W88" s="14">
        <f t="shared" si="6"/>
        <v>2098150</v>
      </c>
      <c r="X88" s="54">
        <f t="shared" si="8"/>
        <v>620255</v>
      </c>
      <c r="Y88" s="59">
        <v>1</v>
      </c>
      <c r="Z88" s="59">
        <v>3</v>
      </c>
      <c r="AA88" s="4">
        <f t="shared" si="5"/>
        <v>1637</v>
      </c>
    </row>
    <row r="89" spans="1:27" s="5" customFormat="1" ht="33.950000000000003" customHeight="1" x14ac:dyDescent="0.3">
      <c r="A89" s="8"/>
      <c r="B89" s="50">
        <v>46199</v>
      </c>
      <c r="C89" s="11"/>
      <c r="D89" s="11"/>
      <c r="E89" s="11"/>
      <c r="F89" s="11"/>
      <c r="G89" s="11"/>
      <c r="H89" s="11"/>
      <c r="I89" s="11"/>
      <c r="J89" s="11"/>
      <c r="K89" s="13"/>
      <c r="L89" s="13"/>
      <c r="M89" s="13"/>
      <c r="N89" s="85"/>
      <c r="O89" s="11"/>
      <c r="P89" s="79">
        <f t="shared" si="7"/>
        <v>1477895</v>
      </c>
      <c r="Q89" s="11"/>
      <c r="R89" s="11"/>
      <c r="S89" s="89">
        <v>36</v>
      </c>
      <c r="T89" s="11">
        <v>97200</v>
      </c>
      <c r="U89" s="11"/>
      <c r="V89" s="11"/>
      <c r="W89" s="14">
        <f t="shared" si="6"/>
        <v>2195350</v>
      </c>
      <c r="X89" s="54">
        <f t="shared" si="8"/>
        <v>717455</v>
      </c>
      <c r="Y89" s="59"/>
      <c r="Z89" s="59">
        <v>4</v>
      </c>
      <c r="AA89" s="4">
        <f t="shared" si="5"/>
        <v>1597</v>
      </c>
    </row>
    <row r="90" spans="1:27" s="5" customFormat="1" ht="33.950000000000003" customHeight="1" x14ac:dyDescent="0.3">
      <c r="A90" s="8"/>
      <c r="B90" s="50">
        <v>46197</v>
      </c>
      <c r="C90" s="11">
        <v>384</v>
      </c>
      <c r="D90" s="11">
        <v>384</v>
      </c>
      <c r="E90" s="11"/>
      <c r="F90" s="11"/>
      <c r="G90" s="11"/>
      <c r="H90" s="11"/>
      <c r="I90" s="11"/>
      <c r="J90" s="11"/>
      <c r="K90" s="13"/>
      <c r="L90" s="13"/>
      <c r="M90" s="13"/>
      <c r="N90" s="85"/>
      <c r="O90" s="11"/>
      <c r="P90" s="79">
        <f t="shared" si="7"/>
        <v>1477895</v>
      </c>
      <c r="Q90" s="11"/>
      <c r="R90" s="11"/>
      <c r="S90" s="89"/>
      <c r="T90" s="11"/>
      <c r="U90" s="11"/>
      <c r="V90" s="11"/>
      <c r="W90" s="14">
        <f t="shared" si="6"/>
        <v>2195350</v>
      </c>
      <c r="X90" s="54">
        <f t="shared" si="8"/>
        <v>717455</v>
      </c>
      <c r="Y90" s="59"/>
      <c r="Z90" s="59">
        <v>2</v>
      </c>
      <c r="AA90" s="4">
        <f t="shared" si="5"/>
        <v>1593</v>
      </c>
    </row>
    <row r="91" spans="1:27" s="5" customFormat="1" ht="33.950000000000003" customHeight="1" x14ac:dyDescent="0.3">
      <c r="A91" s="8"/>
      <c r="B91" s="50">
        <v>46203</v>
      </c>
      <c r="C91" s="11">
        <v>381</v>
      </c>
      <c r="D91" s="11">
        <v>381</v>
      </c>
      <c r="E91" s="11"/>
      <c r="F91" s="11"/>
      <c r="G91" s="11"/>
      <c r="H91" s="11"/>
      <c r="I91" s="11"/>
      <c r="J91" s="11"/>
      <c r="K91" s="13"/>
      <c r="L91" s="13"/>
      <c r="M91" s="13"/>
      <c r="N91" s="85"/>
      <c r="O91" s="11"/>
      <c r="P91" s="79">
        <f t="shared" si="7"/>
        <v>1477895</v>
      </c>
      <c r="Q91" s="11"/>
      <c r="R91" s="11"/>
      <c r="S91" s="89"/>
      <c r="T91" s="11"/>
      <c r="U91" s="11"/>
      <c r="V91" s="11"/>
      <c r="W91" s="14">
        <f t="shared" si="6"/>
        <v>2195350</v>
      </c>
      <c r="X91" s="54">
        <f t="shared" si="8"/>
        <v>717455</v>
      </c>
      <c r="Y91" s="59"/>
      <c r="Z91" s="59">
        <v>10</v>
      </c>
      <c r="AA91" s="4">
        <f t="shared" si="5"/>
        <v>1591</v>
      </c>
    </row>
    <row r="92" spans="1:27" s="5" customFormat="1" ht="33.950000000000003" customHeight="1" x14ac:dyDescent="0.3">
      <c r="A92" s="8"/>
      <c r="B92" s="50">
        <v>46204</v>
      </c>
      <c r="C92" s="11"/>
      <c r="D92" s="11"/>
      <c r="E92" s="11"/>
      <c r="F92" s="11">
        <v>186</v>
      </c>
      <c r="G92" s="11"/>
      <c r="H92" s="11"/>
      <c r="I92" s="11"/>
      <c r="J92" s="11">
        <v>5</v>
      </c>
      <c r="K92" s="13">
        <v>64220</v>
      </c>
      <c r="L92" s="13"/>
      <c r="M92" s="13"/>
      <c r="N92" s="85"/>
      <c r="O92" s="11"/>
      <c r="P92" s="79">
        <f t="shared" si="7"/>
        <v>1542115</v>
      </c>
      <c r="Q92" s="11"/>
      <c r="R92" s="11"/>
      <c r="S92" s="89">
        <v>21</v>
      </c>
      <c r="T92" s="11">
        <v>57000</v>
      </c>
      <c r="U92" s="11"/>
      <c r="V92" s="11"/>
      <c r="W92" s="14">
        <f t="shared" si="6"/>
        <v>2252350</v>
      </c>
      <c r="X92" s="54">
        <f t="shared" si="8"/>
        <v>710235</v>
      </c>
      <c r="Y92" s="59"/>
      <c r="Z92" s="59">
        <v>2</v>
      </c>
      <c r="AA92" s="4">
        <f t="shared" si="5"/>
        <v>1746</v>
      </c>
    </row>
    <row r="93" spans="1:27" s="5" customFormat="1" ht="33.950000000000003" customHeight="1" x14ac:dyDescent="0.3">
      <c r="A93" s="8"/>
      <c r="B93" s="50">
        <v>46206</v>
      </c>
      <c r="C93" s="11"/>
      <c r="D93" s="11"/>
      <c r="E93" s="11"/>
      <c r="F93" s="11"/>
      <c r="G93" s="11"/>
      <c r="H93" s="11"/>
      <c r="I93" s="11"/>
      <c r="J93" s="11"/>
      <c r="K93" s="13"/>
      <c r="L93" s="13"/>
      <c r="M93" s="13"/>
      <c r="N93" s="85"/>
      <c r="O93" s="11"/>
      <c r="P93" s="79">
        <f t="shared" si="7"/>
        <v>1542115</v>
      </c>
      <c r="Q93" s="11"/>
      <c r="R93" s="11"/>
      <c r="S93" s="89">
        <v>14</v>
      </c>
      <c r="T93" s="11">
        <v>31400</v>
      </c>
      <c r="U93" s="11"/>
      <c r="V93" s="11"/>
      <c r="W93" s="14">
        <f t="shared" si="6"/>
        <v>2283750</v>
      </c>
      <c r="X93" s="54">
        <f t="shared" si="8"/>
        <v>741635</v>
      </c>
      <c r="Y93" s="59"/>
      <c r="Z93" s="59">
        <v>8</v>
      </c>
      <c r="AA93" s="4">
        <f t="shared" si="5"/>
        <v>1730</v>
      </c>
    </row>
    <row r="94" spans="1:27" s="5" customFormat="1" ht="33.950000000000003" customHeight="1" x14ac:dyDescent="0.3">
      <c r="A94" s="8"/>
      <c r="B94" s="50">
        <v>46209</v>
      </c>
      <c r="C94" s="11">
        <v>278</v>
      </c>
      <c r="D94" s="11">
        <v>278</v>
      </c>
      <c r="E94" s="11"/>
      <c r="F94" s="11"/>
      <c r="G94" s="11"/>
      <c r="H94" s="11"/>
      <c r="I94" s="11"/>
      <c r="J94" s="11"/>
      <c r="K94" s="13"/>
      <c r="L94" s="13"/>
      <c r="M94" s="13"/>
      <c r="N94" s="85"/>
      <c r="O94" s="11"/>
      <c r="P94" s="79">
        <f t="shared" si="7"/>
        <v>1542115</v>
      </c>
      <c r="Q94" s="11"/>
      <c r="R94" s="11"/>
      <c r="S94" s="89"/>
      <c r="T94" s="11"/>
      <c r="U94" s="11"/>
      <c r="V94" s="11"/>
      <c r="W94" s="14">
        <f t="shared" si="6"/>
        <v>2283750</v>
      </c>
      <c r="X94" s="54">
        <f t="shared" si="8"/>
        <v>741635</v>
      </c>
      <c r="Y94" s="59">
        <v>2</v>
      </c>
      <c r="Z94" s="59">
        <v>4</v>
      </c>
      <c r="AA94" s="4">
        <f t="shared" si="5"/>
        <v>1722</v>
      </c>
    </row>
    <row r="95" spans="1:27" s="5" customFormat="1" ht="33.950000000000003" customHeight="1" x14ac:dyDescent="0.3">
      <c r="A95" s="8"/>
      <c r="B95" s="50">
        <v>46211</v>
      </c>
      <c r="C95" s="11"/>
      <c r="D95" s="11"/>
      <c r="E95" s="11"/>
      <c r="F95" s="11"/>
      <c r="G95" s="11"/>
      <c r="H95" s="11"/>
      <c r="I95" s="11"/>
      <c r="J95" s="11">
        <v>5</v>
      </c>
      <c r="K95" s="13">
        <v>65500</v>
      </c>
      <c r="L95" s="13"/>
      <c r="M95" s="13"/>
      <c r="N95" s="85"/>
      <c r="O95" s="11"/>
      <c r="P95" s="79">
        <f t="shared" si="7"/>
        <v>1607615</v>
      </c>
      <c r="Q95" s="11"/>
      <c r="R95" s="11"/>
      <c r="S95" s="89">
        <v>6</v>
      </c>
      <c r="T95" s="11">
        <f>2200*6</f>
        <v>13200</v>
      </c>
      <c r="U95" s="11"/>
      <c r="V95" s="11"/>
      <c r="W95" s="14">
        <f t="shared" si="6"/>
        <v>2296950</v>
      </c>
      <c r="X95" s="54">
        <f t="shared" si="8"/>
        <v>689335</v>
      </c>
      <c r="Y95" s="59">
        <v>1</v>
      </c>
      <c r="Z95" s="59">
        <v>16</v>
      </c>
      <c r="AA95" s="4">
        <f t="shared" si="5"/>
        <v>1710</v>
      </c>
    </row>
    <row r="96" spans="1:27" s="5" customFormat="1" ht="33.950000000000003" customHeight="1" x14ac:dyDescent="0.3">
      <c r="A96" s="8"/>
      <c r="B96" s="50">
        <v>46213</v>
      </c>
      <c r="C96" s="11">
        <v>30</v>
      </c>
      <c r="D96" s="11">
        <v>0</v>
      </c>
      <c r="E96" s="11"/>
      <c r="F96" s="11"/>
      <c r="G96" s="11"/>
      <c r="H96" s="11"/>
      <c r="I96" s="11"/>
      <c r="J96" s="11"/>
      <c r="K96" s="13"/>
      <c r="L96" s="13"/>
      <c r="M96" s="13"/>
      <c r="N96" s="85"/>
      <c r="O96" s="11"/>
      <c r="P96" s="79">
        <f t="shared" si="7"/>
        <v>1607615</v>
      </c>
      <c r="Q96" s="11">
        <v>30</v>
      </c>
      <c r="R96" s="11">
        <v>7500</v>
      </c>
      <c r="S96" s="89">
        <v>50</v>
      </c>
      <c r="T96" s="11">
        <v>55000</v>
      </c>
      <c r="U96" s="11"/>
      <c r="V96" s="11"/>
      <c r="W96" s="14">
        <f t="shared" si="6"/>
        <v>2359450</v>
      </c>
      <c r="X96" s="54">
        <f t="shared" si="8"/>
        <v>751835</v>
      </c>
      <c r="Y96" s="59"/>
      <c r="Z96" s="59">
        <v>12</v>
      </c>
      <c r="AA96" s="4">
        <f t="shared" si="5"/>
        <v>1643</v>
      </c>
    </row>
    <row r="97" spans="1:34" s="5" customFormat="1" ht="33.950000000000003" customHeight="1" x14ac:dyDescent="0.3">
      <c r="A97" s="8"/>
      <c r="B97" s="50">
        <v>46217</v>
      </c>
      <c r="C97" s="11"/>
      <c r="D97" s="11"/>
      <c r="E97" s="11"/>
      <c r="F97" s="11"/>
      <c r="G97" s="11"/>
      <c r="H97" s="11"/>
      <c r="I97" s="11"/>
      <c r="J97" s="11">
        <v>5</v>
      </c>
      <c r="K97" s="13">
        <v>65770</v>
      </c>
      <c r="L97" s="13"/>
      <c r="M97" s="13"/>
      <c r="N97" s="85"/>
      <c r="O97" s="11">
        <v>2000</v>
      </c>
      <c r="P97" s="79">
        <f t="shared" si="7"/>
        <v>1675385</v>
      </c>
      <c r="Q97" s="11"/>
      <c r="R97" s="11"/>
      <c r="S97" s="89"/>
      <c r="T97" s="11"/>
      <c r="U97" s="11"/>
      <c r="V97" s="11"/>
      <c r="W97" s="14">
        <f t="shared" si="6"/>
        <v>2359450</v>
      </c>
      <c r="X97" s="54">
        <f t="shared" si="8"/>
        <v>684065</v>
      </c>
      <c r="Y97" s="59">
        <v>2</v>
      </c>
      <c r="Z97" s="59">
        <v>8</v>
      </c>
      <c r="AA97" s="4">
        <f t="shared" si="5"/>
        <v>1631</v>
      </c>
    </row>
    <row r="98" spans="1:34" s="5" customFormat="1" ht="33.950000000000003" customHeight="1" x14ac:dyDescent="0.3">
      <c r="A98" s="8"/>
      <c r="B98" s="50">
        <v>46218</v>
      </c>
      <c r="C98" s="11"/>
      <c r="D98" s="11"/>
      <c r="E98" s="11"/>
      <c r="F98" s="11">
        <v>300</v>
      </c>
      <c r="G98" s="11"/>
      <c r="H98" s="11"/>
      <c r="I98" s="11"/>
      <c r="J98" s="11"/>
      <c r="K98" s="13"/>
      <c r="L98" s="13"/>
      <c r="M98" s="13"/>
      <c r="N98" s="85"/>
      <c r="O98" s="11"/>
      <c r="P98" s="79">
        <f t="shared" si="7"/>
        <v>1675385</v>
      </c>
      <c r="Q98" s="11"/>
      <c r="R98" s="11"/>
      <c r="S98" s="89">
        <v>12</v>
      </c>
      <c r="T98" s="11">
        <v>30000</v>
      </c>
      <c r="U98" s="11"/>
      <c r="V98" s="11"/>
      <c r="W98" s="14">
        <f t="shared" si="6"/>
        <v>2389450</v>
      </c>
      <c r="X98" s="54">
        <f t="shared" si="8"/>
        <v>714065</v>
      </c>
      <c r="Y98" s="59"/>
      <c r="Z98" s="59">
        <v>10</v>
      </c>
      <c r="AA98" s="4">
        <f t="shared" si="5"/>
        <v>1909</v>
      </c>
    </row>
    <row r="99" spans="1:34" s="5" customFormat="1" ht="33.950000000000003" customHeight="1" x14ac:dyDescent="0.3">
      <c r="A99" s="8"/>
      <c r="B99" s="50">
        <v>46223</v>
      </c>
      <c r="C99" s="11"/>
      <c r="D99" s="11"/>
      <c r="E99" s="11"/>
      <c r="F99" s="11"/>
      <c r="G99" s="11"/>
      <c r="H99" s="11"/>
      <c r="I99" s="11"/>
      <c r="J99" s="11"/>
      <c r="K99" s="13"/>
      <c r="L99" s="13"/>
      <c r="M99" s="13"/>
      <c r="N99" s="85"/>
      <c r="O99" s="11"/>
      <c r="P99" s="79">
        <f t="shared" si="7"/>
        <v>1675385</v>
      </c>
      <c r="Q99" s="11"/>
      <c r="R99" s="11"/>
      <c r="S99" s="89">
        <v>1</v>
      </c>
      <c r="T99" s="11">
        <v>9000</v>
      </c>
      <c r="U99" s="11"/>
      <c r="V99" s="11"/>
      <c r="W99" s="14">
        <f t="shared" si="6"/>
        <v>2398450</v>
      </c>
      <c r="X99" s="54">
        <f t="shared" si="8"/>
        <v>723065</v>
      </c>
      <c r="Y99" s="59"/>
      <c r="Z99" s="59">
        <v>6</v>
      </c>
      <c r="AA99" s="4">
        <f t="shared" si="5"/>
        <v>1898</v>
      </c>
    </row>
    <row r="100" spans="1:34" s="5" customFormat="1" ht="33.950000000000003" customHeight="1" x14ac:dyDescent="0.3">
      <c r="A100" s="8" t="s">
        <v>47</v>
      </c>
      <c r="B100" s="50">
        <v>46224</v>
      </c>
      <c r="C100" s="11"/>
      <c r="D100" s="11"/>
      <c r="E100" s="11"/>
      <c r="F100" s="11">
        <v>280</v>
      </c>
      <c r="G100" s="11"/>
      <c r="H100" s="11"/>
      <c r="I100" s="11"/>
      <c r="J100" s="11">
        <v>2</v>
      </c>
      <c r="K100" s="13">
        <v>34650</v>
      </c>
      <c r="L100" s="13"/>
      <c r="M100" s="13"/>
      <c r="N100" s="85"/>
      <c r="O100" s="11"/>
      <c r="P100" s="79">
        <f t="shared" si="7"/>
        <v>1710035</v>
      </c>
      <c r="Q100" s="11"/>
      <c r="R100" s="11"/>
      <c r="S100" s="89">
        <v>10</v>
      </c>
      <c r="T100" s="11">
        <v>30000</v>
      </c>
      <c r="U100" s="11"/>
      <c r="V100" s="11"/>
      <c r="W100" s="14">
        <f t="shared" si="6"/>
        <v>2428450</v>
      </c>
      <c r="X100" s="54">
        <f t="shared" si="8"/>
        <v>718415</v>
      </c>
      <c r="Y100" s="59">
        <v>3</v>
      </c>
      <c r="Z100" s="59">
        <v>14</v>
      </c>
      <c r="AA100" s="4">
        <f t="shared" si="5"/>
        <v>2162</v>
      </c>
    </row>
    <row r="101" spans="1:34" s="5" customFormat="1" ht="33.950000000000003" customHeight="1" x14ac:dyDescent="0.3">
      <c r="A101" s="8" t="s">
        <v>41</v>
      </c>
      <c r="B101" s="50">
        <v>46227</v>
      </c>
      <c r="C101" s="11"/>
      <c r="D101" s="11"/>
      <c r="E101" s="11"/>
      <c r="F101" s="11"/>
      <c r="G101" s="11"/>
      <c r="H101" s="11"/>
      <c r="I101" s="11"/>
      <c r="J101" s="11">
        <v>4</v>
      </c>
      <c r="K101" s="13"/>
      <c r="L101" s="13"/>
      <c r="M101" s="13"/>
      <c r="N101" s="85"/>
      <c r="O101" s="11"/>
      <c r="P101" s="79">
        <f t="shared" si="7"/>
        <v>1710035</v>
      </c>
      <c r="Q101" s="11"/>
      <c r="R101" s="11"/>
      <c r="S101" s="89">
        <v>4</v>
      </c>
      <c r="T101" s="11">
        <v>20000</v>
      </c>
      <c r="U101" s="11"/>
      <c r="V101" s="11"/>
      <c r="W101" s="14">
        <f t="shared" si="6"/>
        <v>2448450</v>
      </c>
      <c r="X101" s="54">
        <f t="shared" si="8"/>
        <v>738415</v>
      </c>
      <c r="Y101" s="59"/>
      <c r="Z101" s="59">
        <v>12</v>
      </c>
      <c r="AA101" s="4">
        <f t="shared" ref="AA101:AA108" si="9">AA100+F101+L101-S101-Y100-Z100</f>
        <v>2141</v>
      </c>
    </row>
    <row r="102" spans="1:34" s="5" customFormat="1" ht="33.950000000000003" customHeight="1" x14ac:dyDescent="0.3">
      <c r="A102" s="8" t="s">
        <v>38</v>
      </c>
      <c r="B102" s="50">
        <v>46231</v>
      </c>
      <c r="C102" s="11"/>
      <c r="D102" s="11"/>
      <c r="E102" s="11"/>
      <c r="F102" s="11">
        <v>221</v>
      </c>
      <c r="G102" s="11"/>
      <c r="H102" s="11"/>
      <c r="I102" s="11"/>
      <c r="J102" s="11">
        <v>4</v>
      </c>
      <c r="K102" s="13"/>
      <c r="L102" s="13"/>
      <c r="M102" s="13"/>
      <c r="N102" s="85"/>
      <c r="O102" s="11"/>
      <c r="P102" s="79">
        <f t="shared" si="7"/>
        <v>1710035</v>
      </c>
      <c r="Q102" s="11"/>
      <c r="R102" s="11"/>
      <c r="S102" s="89"/>
      <c r="T102" s="11"/>
      <c r="U102" s="11"/>
      <c r="V102" s="11"/>
      <c r="W102" s="14">
        <f t="shared" si="6"/>
        <v>2448450</v>
      </c>
      <c r="X102" s="54">
        <f t="shared" si="8"/>
        <v>738415</v>
      </c>
      <c r="Y102" s="59">
        <v>2</v>
      </c>
      <c r="Z102" s="59">
        <v>8</v>
      </c>
      <c r="AA102" s="4">
        <f t="shared" si="9"/>
        <v>2350</v>
      </c>
    </row>
    <row r="103" spans="1:34" s="5" customFormat="1" ht="33.950000000000003" customHeight="1" x14ac:dyDescent="0.3">
      <c r="A103" s="8" t="s">
        <v>44</v>
      </c>
      <c r="B103" s="50">
        <v>46232</v>
      </c>
      <c r="C103" s="11"/>
      <c r="D103" s="11"/>
      <c r="E103" s="11"/>
      <c r="F103" s="11"/>
      <c r="G103" s="11"/>
      <c r="H103" s="11"/>
      <c r="I103" s="11"/>
      <c r="J103" s="11"/>
      <c r="K103" s="13"/>
      <c r="L103" s="13"/>
      <c r="M103" s="13"/>
      <c r="N103" s="85"/>
      <c r="O103" s="11"/>
      <c r="P103" s="79">
        <f t="shared" si="7"/>
        <v>1710035</v>
      </c>
      <c r="Q103" s="11"/>
      <c r="R103" s="11"/>
      <c r="S103" s="89">
        <v>20</v>
      </c>
      <c r="T103" s="11">
        <v>40000</v>
      </c>
      <c r="U103" s="11"/>
      <c r="V103" s="11"/>
      <c r="W103" s="14">
        <f t="shared" si="6"/>
        <v>2488450</v>
      </c>
      <c r="X103" s="54">
        <f t="shared" si="8"/>
        <v>778415</v>
      </c>
      <c r="Y103" s="59"/>
      <c r="Z103" s="59">
        <v>22</v>
      </c>
      <c r="AA103" s="4">
        <f t="shared" si="9"/>
        <v>2320</v>
      </c>
    </row>
    <row r="104" spans="1:34" s="5" customFormat="1" ht="33.950000000000003" customHeight="1" x14ac:dyDescent="0.3">
      <c r="A104" s="8"/>
      <c r="B104" s="50">
        <v>46233</v>
      </c>
      <c r="C104" s="11"/>
      <c r="D104" s="11"/>
      <c r="E104" s="11"/>
      <c r="F104" s="11"/>
      <c r="G104" s="11"/>
      <c r="H104" s="11"/>
      <c r="I104" s="11"/>
      <c r="J104" s="11">
        <v>1</v>
      </c>
      <c r="K104" s="13"/>
      <c r="L104" s="13"/>
      <c r="M104" s="13"/>
      <c r="N104" s="85"/>
      <c r="O104" s="11"/>
      <c r="P104" s="79">
        <f t="shared" si="7"/>
        <v>1710035</v>
      </c>
      <c r="Q104" s="11"/>
      <c r="R104" s="11"/>
      <c r="S104" s="89"/>
      <c r="T104" s="11"/>
      <c r="U104" s="11"/>
      <c r="V104" s="11"/>
      <c r="W104" s="14">
        <f t="shared" si="6"/>
        <v>2488450</v>
      </c>
      <c r="X104" s="54">
        <f t="shared" si="8"/>
        <v>778415</v>
      </c>
      <c r="Y104" s="59"/>
      <c r="Z104" s="59">
        <v>16</v>
      </c>
      <c r="AA104" s="4">
        <f t="shared" si="9"/>
        <v>2298</v>
      </c>
    </row>
    <row r="105" spans="1:34" s="5" customFormat="1" ht="33.950000000000003" customHeight="1" x14ac:dyDescent="0.3">
      <c r="A105" s="8"/>
      <c r="B105" s="50">
        <v>46235</v>
      </c>
      <c r="C105" s="11"/>
      <c r="D105" s="11"/>
      <c r="E105" s="11"/>
      <c r="F105" s="11"/>
      <c r="G105" s="11"/>
      <c r="H105" s="11"/>
      <c r="I105" s="11"/>
      <c r="J105" s="11"/>
      <c r="K105" s="13"/>
      <c r="L105" s="13"/>
      <c r="M105" s="13"/>
      <c r="N105" s="85"/>
      <c r="O105" s="11"/>
      <c r="P105" s="79">
        <f t="shared" si="7"/>
        <v>1710035</v>
      </c>
      <c r="Q105" s="11"/>
      <c r="R105" s="11"/>
      <c r="S105" s="89"/>
      <c r="T105" s="11"/>
      <c r="U105" s="11"/>
      <c r="V105" s="11"/>
      <c r="W105" s="14">
        <f t="shared" si="6"/>
        <v>2488450</v>
      </c>
      <c r="X105" s="54">
        <f t="shared" si="8"/>
        <v>778415</v>
      </c>
      <c r="Y105" s="59">
        <v>1</v>
      </c>
      <c r="Z105" s="59">
        <v>14</v>
      </c>
      <c r="AA105" s="4">
        <f t="shared" si="9"/>
        <v>2282</v>
      </c>
    </row>
    <row r="106" spans="1:34" s="5" customFormat="1" ht="33.950000000000003" customHeight="1" x14ac:dyDescent="0.3">
      <c r="A106" s="8"/>
      <c r="B106" s="50"/>
      <c r="C106" s="11"/>
      <c r="D106" s="11"/>
      <c r="E106" s="11"/>
      <c r="F106" s="11"/>
      <c r="G106" s="11"/>
      <c r="H106" s="11"/>
      <c r="I106" s="11"/>
      <c r="J106" s="11"/>
      <c r="K106" s="13"/>
      <c r="L106" s="13"/>
      <c r="M106" s="13"/>
      <c r="N106" s="85"/>
      <c r="O106" s="11"/>
      <c r="P106" s="79">
        <f t="shared" si="7"/>
        <v>1710035</v>
      </c>
      <c r="Q106" s="11"/>
      <c r="R106" s="11"/>
      <c r="S106" s="89"/>
      <c r="T106" s="11"/>
      <c r="U106" s="11"/>
      <c r="V106" s="11"/>
      <c r="W106" s="14">
        <f t="shared" si="6"/>
        <v>2488450</v>
      </c>
      <c r="X106" s="54">
        <f t="shared" si="8"/>
        <v>778415</v>
      </c>
      <c r="Y106" s="59"/>
      <c r="Z106" s="59"/>
      <c r="AA106" s="4">
        <f t="shared" si="9"/>
        <v>2267</v>
      </c>
    </row>
    <row r="107" spans="1:34" s="5" customFormat="1" ht="33.950000000000003" customHeight="1" x14ac:dyDescent="0.3">
      <c r="A107" s="8"/>
      <c r="B107" s="50"/>
      <c r="C107" s="11"/>
      <c r="D107" s="11"/>
      <c r="E107" s="11"/>
      <c r="F107" s="11"/>
      <c r="G107" s="11"/>
      <c r="H107" s="11"/>
      <c r="I107" s="11"/>
      <c r="J107" s="11"/>
      <c r="K107" s="13"/>
      <c r="L107" s="13"/>
      <c r="M107" s="13"/>
      <c r="N107" s="85"/>
      <c r="O107" s="11"/>
      <c r="P107" s="79">
        <f t="shared" si="7"/>
        <v>1710035</v>
      </c>
      <c r="Q107" s="11"/>
      <c r="R107" s="11"/>
      <c r="S107" s="89"/>
      <c r="T107" s="11"/>
      <c r="U107" s="11"/>
      <c r="V107" s="11"/>
      <c r="W107" s="14">
        <f t="shared" si="6"/>
        <v>2488450</v>
      </c>
      <c r="X107" s="54">
        <f t="shared" si="8"/>
        <v>778415</v>
      </c>
      <c r="Y107" s="59"/>
      <c r="Z107" s="59"/>
      <c r="AA107" s="4">
        <f t="shared" si="9"/>
        <v>2267</v>
      </c>
    </row>
    <row r="108" spans="1:34" s="5" customFormat="1" ht="33.950000000000003" customHeight="1" x14ac:dyDescent="0.3">
      <c r="A108" s="8"/>
      <c r="B108" s="50"/>
      <c r="C108" s="11"/>
      <c r="D108" s="11"/>
      <c r="E108" s="11"/>
      <c r="F108" s="11"/>
      <c r="G108" s="11"/>
      <c r="H108" s="11"/>
      <c r="I108" s="11"/>
      <c r="J108" s="11"/>
      <c r="K108" s="13"/>
      <c r="L108" s="13"/>
      <c r="M108" s="13"/>
      <c r="N108" s="85"/>
      <c r="O108" s="11"/>
      <c r="P108" s="79">
        <f t="shared" si="7"/>
        <v>1710035</v>
      </c>
      <c r="Q108" s="11"/>
      <c r="R108" s="11"/>
      <c r="S108" s="89"/>
      <c r="T108" s="11"/>
      <c r="U108" s="11"/>
      <c r="V108" s="11"/>
      <c r="W108" s="14">
        <f t="shared" si="6"/>
        <v>2488450</v>
      </c>
      <c r="X108" s="54">
        <f t="shared" si="8"/>
        <v>778415</v>
      </c>
      <c r="Y108" s="59"/>
      <c r="Z108" s="59"/>
      <c r="AA108" s="4">
        <f t="shared" si="9"/>
        <v>2267</v>
      </c>
    </row>
    <row r="109" spans="1:34" s="20" customFormat="1" ht="33.950000000000003" customHeight="1" thickBot="1" x14ac:dyDescent="0.35">
      <c r="A109" s="17"/>
      <c r="B109" s="18"/>
      <c r="C109" s="18">
        <f>SUM(C4:C108)</f>
        <v>7067</v>
      </c>
      <c r="D109" s="18">
        <f>SUM(D4:D108)</f>
        <v>5931</v>
      </c>
      <c r="E109" s="18">
        <f t="shared" ref="E109:G109" si="10">SUM(E4:E108)</f>
        <v>0</v>
      </c>
      <c r="F109" s="18">
        <f t="shared" si="10"/>
        <v>3869</v>
      </c>
      <c r="G109" s="18">
        <f t="shared" si="10"/>
        <v>0</v>
      </c>
      <c r="H109" s="18">
        <f t="shared" ref="H109:N109" si="11">SUM(H6:H108)</f>
        <v>0</v>
      </c>
      <c r="I109" s="18">
        <f t="shared" si="11"/>
        <v>0</v>
      </c>
      <c r="J109" s="18"/>
      <c r="K109" s="19">
        <f t="shared" si="11"/>
        <v>1474535</v>
      </c>
      <c r="L109" s="44"/>
      <c r="M109" s="44"/>
      <c r="N109" s="44">
        <f t="shared" si="11"/>
        <v>78500</v>
      </c>
      <c r="O109" s="11"/>
      <c r="P109" s="79"/>
      <c r="Q109" s="11">
        <f t="shared" ref="Q109:S109" si="12">SUM(Q4:Q108)</f>
        <v>1125</v>
      </c>
      <c r="R109" s="11">
        <f t="shared" si="12"/>
        <v>268750</v>
      </c>
      <c r="S109" s="90">
        <f t="shared" si="12"/>
        <v>2194</v>
      </c>
      <c r="T109" s="18">
        <f>SUM(T4:T108)</f>
        <v>2219700</v>
      </c>
      <c r="U109" s="18">
        <f t="shared" ref="U109:Z109" si="13">SUM(U4:U108)</f>
        <v>0</v>
      </c>
      <c r="V109" s="18">
        <f t="shared" si="13"/>
        <v>0</v>
      </c>
      <c r="W109" s="18"/>
      <c r="X109" s="18">
        <f t="shared" si="13"/>
        <v>34270980</v>
      </c>
      <c r="Y109" s="18">
        <f t="shared" si="13"/>
        <v>49</v>
      </c>
      <c r="Z109" s="18">
        <f t="shared" si="13"/>
        <v>269</v>
      </c>
      <c r="AA109" s="4"/>
    </row>
    <row r="110" spans="1:34" s="20" customFormat="1" ht="33.950000000000003" customHeight="1" thickBot="1" x14ac:dyDescent="0.35">
      <c r="E110" s="21"/>
      <c r="F110" s="21"/>
      <c r="G110" s="21"/>
      <c r="H110" s="22"/>
      <c r="I110" s="23"/>
      <c r="J110" s="24"/>
      <c r="K110" s="25"/>
      <c r="L110" s="25"/>
      <c r="M110" s="25"/>
      <c r="N110" s="25"/>
      <c r="O110" s="21"/>
      <c r="P110" s="92"/>
      <c r="Q110" s="21"/>
      <c r="R110" s="21"/>
      <c r="S110" s="21"/>
      <c r="X110" s="26"/>
      <c r="Y110" s="28"/>
      <c r="Z110" s="28"/>
    </row>
    <row r="111" spans="1:34" s="20" customFormat="1" ht="33.950000000000003" customHeight="1" x14ac:dyDescent="0.3">
      <c r="F111" s="27"/>
      <c r="K111" s="28"/>
      <c r="L111" s="28"/>
      <c r="M111" s="28"/>
      <c r="N111" s="28"/>
      <c r="P111" s="93"/>
      <c r="X111" s="26"/>
      <c r="Y111" s="28"/>
      <c r="Z111" s="28"/>
    </row>
    <row r="112" spans="1:34" s="29" customFormat="1" ht="33.950000000000003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8"/>
      <c r="L112" s="28"/>
      <c r="M112" s="28"/>
      <c r="N112" s="28"/>
      <c r="O112" s="20"/>
      <c r="P112" s="93"/>
      <c r="Q112" s="20"/>
      <c r="R112" s="20"/>
      <c r="S112" s="20"/>
      <c r="T112" s="20"/>
      <c r="U112" s="20"/>
      <c r="V112" s="20"/>
      <c r="W112" s="20"/>
      <c r="X112" s="26"/>
      <c r="Y112" s="28"/>
      <c r="Z112" s="28"/>
      <c r="AA112" s="20"/>
      <c r="AB112" s="20"/>
      <c r="AC112" s="20"/>
      <c r="AD112" s="20"/>
      <c r="AE112" s="20"/>
      <c r="AF112" s="20"/>
      <c r="AG112" s="20"/>
      <c r="AH112" s="20"/>
    </row>
    <row r="113" spans="1:34" s="29" customFormat="1" ht="33.950000000000003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8"/>
      <c r="L113" s="28"/>
      <c r="M113" s="28"/>
      <c r="N113" s="28"/>
      <c r="O113" s="20"/>
      <c r="P113" s="93"/>
      <c r="Q113" s="20"/>
      <c r="R113" s="20"/>
      <c r="S113" s="20"/>
      <c r="T113" s="20"/>
      <c r="U113" s="20"/>
      <c r="V113" s="20"/>
      <c r="W113" s="20"/>
      <c r="X113" s="26"/>
      <c r="Y113" s="28"/>
      <c r="Z113" s="28"/>
      <c r="AA113" s="20"/>
      <c r="AB113" s="20"/>
      <c r="AC113" s="20"/>
      <c r="AD113" s="20"/>
      <c r="AE113" s="20"/>
      <c r="AF113" s="20"/>
      <c r="AG113" s="20"/>
      <c r="AH113" s="20"/>
    </row>
    <row r="114" spans="1:34" s="29" customFormat="1" ht="33.950000000000003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8"/>
      <c r="L114" s="28"/>
      <c r="M114" s="28"/>
      <c r="N114" s="28"/>
      <c r="O114" s="20"/>
      <c r="P114" s="93"/>
      <c r="Q114" s="20"/>
      <c r="R114" s="20"/>
      <c r="S114" s="20"/>
      <c r="T114" s="20"/>
      <c r="U114" s="20"/>
      <c r="V114" s="20"/>
      <c r="W114" s="20"/>
      <c r="X114" s="26"/>
      <c r="Y114" s="28">
        <f>109+102</f>
        <v>211</v>
      </c>
      <c r="Z114" s="28"/>
      <c r="AA114" s="20"/>
      <c r="AB114" s="20"/>
      <c r="AC114" s="20"/>
      <c r="AD114" s="20"/>
      <c r="AE114" s="20"/>
      <c r="AF114" s="20"/>
      <c r="AG114" s="20"/>
      <c r="AH114" s="20"/>
    </row>
    <row r="115" spans="1:34" s="29" customFormat="1" ht="33.950000000000003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8"/>
      <c r="L115" s="28"/>
      <c r="M115" s="28"/>
      <c r="N115" s="28"/>
      <c r="O115" s="20"/>
      <c r="P115" s="93"/>
      <c r="Q115" s="20"/>
      <c r="R115" s="20"/>
      <c r="S115" s="20"/>
      <c r="T115" s="20"/>
      <c r="U115" s="20"/>
      <c r="V115" s="20"/>
      <c r="W115" s="20"/>
      <c r="X115" s="26"/>
      <c r="Y115" s="28">
        <f>131+126</f>
        <v>257</v>
      </c>
      <c r="Z115" s="28"/>
      <c r="AA115" s="20"/>
      <c r="AB115" s="20"/>
      <c r="AC115" s="20"/>
      <c r="AD115" s="20"/>
      <c r="AE115" s="20"/>
      <c r="AF115" s="20"/>
      <c r="AG115" s="20"/>
      <c r="AH115" s="20"/>
    </row>
    <row r="116" spans="1:34" s="29" customFormat="1" ht="33.950000000000003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8"/>
      <c r="L116" s="28"/>
      <c r="M116" s="28"/>
      <c r="N116" s="28"/>
      <c r="O116" s="20"/>
      <c r="P116" s="93"/>
      <c r="Q116" s="20"/>
      <c r="R116" s="20"/>
      <c r="S116" s="20"/>
      <c r="T116" s="20"/>
      <c r="U116" s="20"/>
      <c r="V116" s="20"/>
      <c r="W116" s="20"/>
      <c r="X116" s="26"/>
      <c r="Y116" s="28">
        <f>211+35+257+208+126</f>
        <v>837</v>
      </c>
      <c r="Z116" s="28"/>
      <c r="AA116" s="20"/>
      <c r="AB116" s="20"/>
      <c r="AC116" s="20"/>
      <c r="AD116" s="20"/>
      <c r="AE116" s="20"/>
      <c r="AF116" s="20"/>
      <c r="AG116" s="20"/>
      <c r="AH116" s="20"/>
    </row>
    <row r="117" spans="1:34" s="29" customFormat="1" ht="33.950000000000003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8"/>
      <c r="L117" s="28"/>
      <c r="M117" s="28"/>
      <c r="N117" s="28"/>
      <c r="O117" s="20"/>
      <c r="P117" s="93"/>
      <c r="Q117" s="20"/>
      <c r="R117" s="20"/>
      <c r="S117" s="20"/>
      <c r="T117" s="20"/>
      <c r="U117" s="20"/>
      <c r="V117" s="20"/>
      <c r="W117" s="20"/>
      <c r="X117" s="26"/>
      <c r="Y117" s="28"/>
      <c r="Z117" s="28"/>
      <c r="AA117" s="20"/>
      <c r="AB117" s="20"/>
      <c r="AC117" s="20"/>
      <c r="AD117" s="20"/>
      <c r="AE117" s="20"/>
      <c r="AF117" s="20"/>
      <c r="AG117" s="20"/>
      <c r="AH117" s="20"/>
    </row>
    <row r="118" spans="1:34" s="29" customFormat="1" ht="33.950000000000003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8"/>
      <c r="L118" s="28"/>
      <c r="M118" s="28"/>
      <c r="N118" s="28"/>
      <c r="O118" s="20"/>
      <c r="P118" s="93"/>
      <c r="Q118" s="20"/>
      <c r="R118" s="20"/>
      <c r="S118" s="20"/>
      <c r="T118" s="20"/>
      <c r="U118" s="20"/>
      <c r="V118" s="20"/>
      <c r="W118" s="20"/>
      <c r="X118" s="26"/>
      <c r="Y118" s="28"/>
      <c r="Z118" s="28"/>
      <c r="AA118" s="20"/>
      <c r="AB118" s="20"/>
      <c r="AC118" s="20"/>
      <c r="AD118" s="20"/>
      <c r="AE118" s="20"/>
      <c r="AF118" s="20"/>
      <c r="AG118" s="20"/>
      <c r="AH118" s="20"/>
    </row>
    <row r="119" spans="1:34" s="29" customFormat="1" ht="33.950000000000003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8"/>
      <c r="L119" s="28"/>
      <c r="M119" s="28"/>
      <c r="N119" s="28"/>
      <c r="O119" s="20"/>
      <c r="P119" s="93"/>
      <c r="Q119" s="20"/>
      <c r="R119" s="20"/>
      <c r="S119" s="20"/>
      <c r="T119" s="20"/>
      <c r="U119" s="20"/>
      <c r="V119" s="20"/>
      <c r="W119" s="20"/>
      <c r="X119" s="26"/>
      <c r="Y119" s="28"/>
      <c r="Z119" s="28"/>
      <c r="AA119" s="20"/>
      <c r="AB119" s="20"/>
      <c r="AC119" s="20"/>
      <c r="AD119" s="20"/>
      <c r="AE119" s="20"/>
      <c r="AF119" s="20"/>
      <c r="AG119" s="20"/>
      <c r="AH119" s="20"/>
    </row>
    <row r="120" spans="1:34" s="29" customFormat="1" ht="33.950000000000003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8"/>
      <c r="L120" s="28"/>
      <c r="M120" s="28"/>
      <c r="N120" s="28"/>
      <c r="O120" s="20"/>
      <c r="P120" s="93"/>
      <c r="Q120" s="20"/>
      <c r="R120" s="20"/>
      <c r="S120" s="20"/>
      <c r="T120" s="20"/>
      <c r="U120" s="20"/>
      <c r="V120" s="20"/>
      <c r="W120" s="20"/>
      <c r="X120" s="26"/>
      <c r="Y120" s="28"/>
      <c r="Z120" s="28"/>
      <c r="AA120" s="20"/>
      <c r="AB120" s="20"/>
      <c r="AC120" s="20"/>
      <c r="AD120" s="20"/>
      <c r="AE120" s="20"/>
      <c r="AF120" s="20"/>
      <c r="AG120" s="20"/>
      <c r="AH120" s="20"/>
    </row>
    <row r="121" spans="1:34" s="29" customFormat="1" ht="33.950000000000003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8"/>
      <c r="L121" s="28"/>
      <c r="M121" s="28"/>
      <c r="N121" s="28"/>
      <c r="O121" s="20"/>
      <c r="P121" s="93"/>
      <c r="Q121" s="20"/>
      <c r="R121" s="20"/>
      <c r="S121" s="20"/>
      <c r="T121" s="20"/>
      <c r="U121" s="20"/>
      <c r="V121" s="20"/>
      <c r="W121" s="20"/>
      <c r="X121" s="26"/>
      <c r="Y121" s="28"/>
      <c r="Z121" s="28"/>
      <c r="AA121" s="20"/>
      <c r="AB121" s="20"/>
      <c r="AC121" s="20"/>
      <c r="AD121" s="20"/>
      <c r="AE121" s="20"/>
      <c r="AF121" s="20"/>
      <c r="AG121" s="20"/>
      <c r="AH121" s="20"/>
    </row>
    <row r="122" spans="1:34" s="29" customFormat="1" ht="33.950000000000003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8"/>
      <c r="L122" s="28"/>
      <c r="M122" s="28"/>
      <c r="N122" s="28"/>
      <c r="O122" s="20"/>
      <c r="P122" s="93"/>
      <c r="Q122" s="20"/>
      <c r="R122" s="20"/>
      <c r="S122" s="20"/>
      <c r="T122" s="20"/>
      <c r="U122" s="20"/>
      <c r="V122" s="20"/>
      <c r="W122" s="20"/>
      <c r="X122" s="26"/>
      <c r="Y122" s="28"/>
      <c r="Z122" s="28"/>
      <c r="AA122" s="20"/>
      <c r="AB122" s="20"/>
      <c r="AC122" s="20"/>
      <c r="AD122" s="20"/>
      <c r="AE122" s="20"/>
      <c r="AF122" s="20"/>
      <c r="AG122" s="20"/>
      <c r="AH122" s="20"/>
    </row>
    <row r="123" spans="1:34" s="29" customFormat="1" ht="33.950000000000003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8"/>
      <c r="L123" s="28"/>
      <c r="M123" s="28"/>
      <c r="N123" s="28"/>
      <c r="O123" s="20"/>
      <c r="P123" s="93"/>
      <c r="Q123" s="20"/>
      <c r="R123" s="20"/>
      <c r="S123" s="20"/>
      <c r="T123" s="20"/>
      <c r="U123" s="20"/>
      <c r="V123" s="20"/>
      <c r="W123" s="20"/>
      <c r="X123" s="26"/>
      <c r="Y123" s="28"/>
      <c r="Z123" s="28"/>
      <c r="AA123" s="20"/>
      <c r="AB123" s="20"/>
      <c r="AC123" s="20"/>
      <c r="AD123" s="20"/>
      <c r="AE123" s="20"/>
      <c r="AF123" s="20"/>
      <c r="AG123" s="20"/>
      <c r="AH123" s="20"/>
    </row>
    <row r="124" spans="1:34" s="29" customFormat="1" ht="33.950000000000003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8"/>
      <c r="L124" s="28"/>
      <c r="M124" s="28"/>
      <c r="N124" s="28"/>
      <c r="O124" s="20"/>
      <c r="P124" s="93"/>
      <c r="Q124" s="20"/>
      <c r="R124" s="20"/>
      <c r="S124" s="20"/>
      <c r="T124" s="20"/>
      <c r="U124" s="20"/>
      <c r="V124" s="20"/>
      <c r="W124" s="20"/>
      <c r="X124" s="26"/>
      <c r="Y124" s="28"/>
      <c r="Z124" s="28"/>
      <c r="AA124" s="20"/>
      <c r="AB124" s="20"/>
      <c r="AC124" s="20"/>
      <c r="AD124" s="20"/>
      <c r="AE124" s="20"/>
      <c r="AF124" s="20"/>
      <c r="AG124" s="20"/>
      <c r="AH124" s="20"/>
    </row>
    <row r="125" spans="1:34" s="29" customFormat="1" ht="33.950000000000003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8"/>
      <c r="L125" s="28"/>
      <c r="M125" s="28"/>
      <c r="N125" s="28"/>
      <c r="O125" s="20"/>
      <c r="P125" s="93"/>
      <c r="Q125" s="20"/>
      <c r="R125" s="20"/>
      <c r="S125" s="20"/>
      <c r="T125" s="20"/>
      <c r="U125" s="20"/>
      <c r="V125" s="20"/>
      <c r="W125" s="20"/>
      <c r="X125" s="26"/>
      <c r="Y125" s="28"/>
      <c r="Z125" s="28"/>
      <c r="AA125" s="20"/>
      <c r="AB125" s="20"/>
      <c r="AC125" s="20"/>
      <c r="AD125" s="20"/>
      <c r="AE125" s="20"/>
      <c r="AF125" s="20"/>
      <c r="AG125" s="20"/>
      <c r="AH125" s="20"/>
    </row>
    <row r="126" spans="1:34" ht="33.950000000000003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8"/>
      <c r="L126" s="28"/>
      <c r="M126" s="28"/>
      <c r="N126" s="28"/>
      <c r="S126" s="20"/>
      <c r="T126" s="20"/>
      <c r="U126" s="20"/>
      <c r="V126" s="20"/>
    </row>
    <row r="127" spans="1:34" ht="33.950000000000003" customHeight="1" x14ac:dyDescent="0.3"/>
    <row r="128" spans="1:34" ht="33.950000000000003" customHeight="1" x14ac:dyDescent="0.3"/>
    <row r="129" ht="33.950000000000003" customHeight="1" x14ac:dyDescent="0.3"/>
    <row r="130" ht="33.950000000000003" customHeight="1" x14ac:dyDescent="0.3"/>
    <row r="131" ht="33.950000000000003" customHeight="1" x14ac:dyDescent="0.3"/>
    <row r="132" ht="33.950000000000003" customHeight="1" x14ac:dyDescent="0.3"/>
    <row r="133" ht="33.950000000000003" customHeight="1" x14ac:dyDescent="0.3"/>
    <row r="134" ht="33.950000000000003" customHeight="1" x14ac:dyDescent="0.3"/>
    <row r="135" ht="33.950000000000003" customHeight="1" x14ac:dyDescent="0.3"/>
    <row r="136" ht="33.950000000000003" customHeight="1" x14ac:dyDescent="0.3"/>
    <row r="137" ht="33.950000000000003" customHeight="1" x14ac:dyDescent="0.3"/>
    <row r="138" ht="33.950000000000003" customHeight="1" x14ac:dyDescent="0.3"/>
    <row r="139" ht="33.950000000000003" customHeight="1" x14ac:dyDescent="0.3"/>
    <row r="140" ht="33.950000000000003" customHeight="1" x14ac:dyDescent="0.3"/>
    <row r="141" ht="33.950000000000003" customHeight="1" x14ac:dyDescent="0.3"/>
    <row r="142" ht="33.950000000000003" customHeight="1" x14ac:dyDescent="0.3"/>
    <row r="143" ht="33.950000000000003" customHeight="1" x14ac:dyDescent="0.3"/>
    <row r="144" ht="33.950000000000003" customHeight="1" x14ac:dyDescent="0.3"/>
    <row r="145" spans="1:6" ht="33.950000000000003" customHeight="1" x14ac:dyDescent="0.3"/>
    <row r="146" spans="1:6" ht="33.950000000000003" customHeight="1" x14ac:dyDescent="0.3"/>
    <row r="147" spans="1:6" ht="33.950000000000003" customHeight="1" x14ac:dyDescent="0.3"/>
    <row r="148" spans="1:6" ht="33.950000000000003" customHeight="1" x14ac:dyDescent="0.3"/>
    <row r="149" spans="1:6" ht="33.950000000000003" customHeight="1" x14ac:dyDescent="0.3"/>
    <row r="150" spans="1:6" ht="33.950000000000003" customHeight="1" x14ac:dyDescent="0.3"/>
    <row r="151" spans="1:6" ht="33.950000000000003" customHeight="1" x14ac:dyDescent="0.3"/>
    <row r="152" spans="1:6" ht="33.950000000000003" customHeight="1" x14ac:dyDescent="0.3"/>
    <row r="153" spans="1:6" ht="33.950000000000003" customHeight="1" x14ac:dyDescent="0.3"/>
    <row r="154" spans="1:6" ht="33.950000000000003" customHeight="1" x14ac:dyDescent="0.3">
      <c r="A154" s="33"/>
      <c r="B154" s="33"/>
      <c r="C154" s="33"/>
      <c r="D154" s="33"/>
      <c r="E154" s="33"/>
      <c r="F154" s="33"/>
    </row>
    <row r="155" spans="1:6" ht="33.950000000000003" customHeight="1" x14ac:dyDescent="0.3">
      <c r="A155" s="33"/>
      <c r="B155" s="33"/>
      <c r="C155" s="33"/>
      <c r="D155" s="33"/>
      <c r="E155" s="33"/>
      <c r="F155" s="33"/>
    </row>
    <row r="156" spans="1:6" ht="33.950000000000003" customHeight="1" x14ac:dyDescent="0.3"/>
    <row r="157" spans="1:6" ht="33.950000000000003" customHeight="1" x14ac:dyDescent="0.3"/>
    <row r="158" spans="1:6" ht="33.950000000000003" customHeight="1" x14ac:dyDescent="0.3"/>
    <row r="159" spans="1:6" ht="33.950000000000003" customHeight="1" x14ac:dyDescent="0.3"/>
    <row r="160" spans="1:6" ht="33.950000000000003" customHeight="1" x14ac:dyDescent="0.3"/>
    <row r="161" ht="33.950000000000003" customHeight="1" x14ac:dyDescent="0.3"/>
    <row r="162" ht="33.950000000000003" customHeight="1" x14ac:dyDescent="0.3"/>
    <row r="163" ht="33.950000000000003" customHeight="1" x14ac:dyDescent="0.3"/>
    <row r="164" ht="33.950000000000003" customHeight="1" x14ac:dyDescent="0.3"/>
    <row r="165" ht="33.950000000000003" customHeight="1" x14ac:dyDescent="0.3"/>
    <row r="166" ht="33.950000000000003" customHeight="1" x14ac:dyDescent="0.3"/>
    <row r="167" ht="33.950000000000003" customHeight="1" x14ac:dyDescent="0.3"/>
    <row r="168" ht="33.950000000000003" customHeight="1" x14ac:dyDescent="0.3"/>
    <row r="169" ht="33.950000000000003" customHeight="1" x14ac:dyDescent="0.3"/>
    <row r="170" ht="33.950000000000003" customHeight="1" x14ac:dyDescent="0.3"/>
    <row r="171" ht="33.950000000000003" customHeight="1" x14ac:dyDescent="0.3"/>
    <row r="172" ht="33.950000000000003" customHeight="1" x14ac:dyDescent="0.3"/>
    <row r="173" ht="33.950000000000003" customHeight="1" x14ac:dyDescent="0.3"/>
    <row r="174" ht="33.950000000000003" customHeight="1" x14ac:dyDescent="0.3"/>
    <row r="175" ht="33.950000000000003" customHeight="1" x14ac:dyDescent="0.3"/>
    <row r="176" ht="33.950000000000003" customHeight="1" x14ac:dyDescent="0.3"/>
    <row r="177" spans="20:20" ht="33.950000000000003" customHeight="1" x14ac:dyDescent="0.3"/>
    <row r="178" spans="20:20" ht="33.950000000000003" customHeight="1" x14ac:dyDescent="0.3"/>
    <row r="179" spans="20:20" ht="33.950000000000003" customHeight="1" x14ac:dyDescent="0.3">
      <c r="T179" s="5" t="s">
        <v>19</v>
      </c>
    </row>
    <row r="180" spans="20:20" ht="33.950000000000003" customHeight="1" x14ac:dyDescent="0.3"/>
    <row r="181" spans="20:20" ht="33.950000000000003" customHeight="1" x14ac:dyDescent="0.3"/>
    <row r="182" spans="20:20" ht="33.950000000000003" customHeight="1" x14ac:dyDescent="0.3"/>
    <row r="183" spans="20:20" ht="33.950000000000003" customHeight="1" x14ac:dyDescent="0.3"/>
    <row r="184" spans="20:20" ht="33.950000000000003" customHeight="1" x14ac:dyDescent="0.3"/>
    <row r="185" spans="20:20" ht="33.950000000000003" customHeight="1" x14ac:dyDescent="0.3"/>
    <row r="186" spans="20:20" ht="33.950000000000003" customHeight="1" x14ac:dyDescent="0.3"/>
    <row r="187" spans="20:20" ht="33.950000000000003" customHeight="1" x14ac:dyDescent="0.3"/>
    <row r="188" spans="20:20" ht="33.950000000000003" customHeight="1" x14ac:dyDescent="0.3"/>
    <row r="189" spans="20:20" ht="33.950000000000003" customHeight="1" x14ac:dyDescent="0.3"/>
    <row r="190" spans="20:20" ht="33.950000000000003" customHeight="1" x14ac:dyDescent="0.3"/>
    <row r="191" spans="20:20" ht="33.950000000000003" customHeight="1" x14ac:dyDescent="0.3"/>
    <row r="192" spans="20:20" ht="33.950000000000003" customHeight="1" x14ac:dyDescent="0.3"/>
    <row r="193" ht="33.950000000000003" customHeight="1" x14ac:dyDescent="0.3"/>
    <row r="194" ht="33.950000000000003" customHeight="1" x14ac:dyDescent="0.3"/>
    <row r="195" ht="33.950000000000003" customHeight="1" x14ac:dyDescent="0.3"/>
    <row r="196" ht="33.950000000000003" customHeight="1" x14ac:dyDescent="0.3"/>
    <row r="197" ht="33.950000000000003" customHeight="1" x14ac:dyDescent="0.3"/>
    <row r="198" ht="33.950000000000003" customHeight="1" x14ac:dyDescent="0.3"/>
    <row r="199" ht="33.950000000000003" customHeight="1" x14ac:dyDescent="0.3"/>
    <row r="200" ht="33.950000000000003" customHeight="1" x14ac:dyDescent="0.3"/>
    <row r="201" ht="33.950000000000003" customHeight="1" x14ac:dyDescent="0.3"/>
    <row r="202" ht="33.950000000000003" customHeight="1" x14ac:dyDescent="0.3"/>
    <row r="203" ht="33.950000000000003" customHeight="1" x14ac:dyDescent="0.3"/>
    <row r="204" ht="33.950000000000003" customHeight="1" x14ac:dyDescent="0.3"/>
    <row r="205" ht="33.950000000000003" customHeight="1" x14ac:dyDescent="0.3"/>
    <row r="206" ht="33.950000000000003" customHeight="1" x14ac:dyDescent="0.3"/>
    <row r="207" ht="33.950000000000003" customHeight="1" x14ac:dyDescent="0.3"/>
    <row r="208" ht="33.950000000000003" customHeight="1" x14ac:dyDescent="0.3"/>
    <row r="209" ht="33.950000000000003" customHeight="1" x14ac:dyDescent="0.3"/>
    <row r="210" ht="33.950000000000003" customHeight="1" x14ac:dyDescent="0.3"/>
    <row r="211" ht="33.950000000000003" customHeight="1" x14ac:dyDescent="0.3"/>
    <row r="212" ht="33.950000000000003" customHeight="1" x14ac:dyDescent="0.3"/>
    <row r="213" ht="33.950000000000003" customHeight="1" x14ac:dyDescent="0.3"/>
    <row r="214" ht="33.950000000000003" customHeight="1" x14ac:dyDescent="0.3"/>
    <row r="215" ht="33.950000000000003" customHeight="1" x14ac:dyDescent="0.3"/>
    <row r="216" ht="33.950000000000003" customHeight="1" x14ac:dyDescent="0.3"/>
    <row r="217" ht="33.950000000000003" customHeight="1" x14ac:dyDescent="0.3"/>
    <row r="218" ht="33.950000000000003" customHeight="1" x14ac:dyDescent="0.3"/>
    <row r="219" ht="33.950000000000003" customHeight="1" x14ac:dyDescent="0.3"/>
    <row r="220" ht="33.950000000000003" customHeight="1" x14ac:dyDescent="0.3"/>
    <row r="221" ht="33.950000000000003" customHeight="1" x14ac:dyDescent="0.3"/>
    <row r="222" ht="33.950000000000003" customHeight="1" x14ac:dyDescent="0.3"/>
    <row r="223" ht="33.950000000000003" customHeight="1" x14ac:dyDescent="0.3"/>
    <row r="224" ht="33.950000000000003" customHeight="1" x14ac:dyDescent="0.3"/>
    <row r="225" ht="33.950000000000003" customHeight="1" x14ac:dyDescent="0.3"/>
    <row r="226" ht="33.950000000000003" customHeight="1" x14ac:dyDescent="0.3"/>
    <row r="227" ht="33.950000000000003" customHeight="1" x14ac:dyDescent="0.3"/>
    <row r="228" ht="33.950000000000003" customHeight="1" x14ac:dyDescent="0.3"/>
    <row r="229" ht="33.950000000000003" customHeight="1" x14ac:dyDescent="0.3"/>
    <row r="230" ht="33.950000000000003" customHeight="1" x14ac:dyDescent="0.3"/>
    <row r="231" ht="33.950000000000003" customHeight="1" x14ac:dyDescent="0.3"/>
    <row r="232" ht="33.950000000000003" customHeight="1" x14ac:dyDescent="0.3"/>
    <row r="233" ht="33.950000000000003" customHeight="1" x14ac:dyDescent="0.3"/>
    <row r="234" ht="33.950000000000003" customHeight="1" x14ac:dyDescent="0.3"/>
    <row r="235" ht="33.950000000000003" customHeight="1" x14ac:dyDescent="0.3"/>
    <row r="236" ht="33.950000000000003" customHeight="1" x14ac:dyDescent="0.3"/>
    <row r="237" ht="33.950000000000003" customHeight="1" x14ac:dyDescent="0.3"/>
    <row r="238" ht="33.950000000000003" customHeight="1" x14ac:dyDescent="0.3"/>
    <row r="239" ht="33.950000000000003" customHeight="1" x14ac:dyDescent="0.3"/>
    <row r="240" ht="33.950000000000003" customHeight="1" x14ac:dyDescent="0.3"/>
    <row r="241" spans="20:20" ht="33.950000000000003" customHeight="1" x14ac:dyDescent="0.3"/>
    <row r="242" spans="20:20" ht="33.950000000000003" customHeight="1" x14ac:dyDescent="0.3"/>
    <row r="243" spans="20:20" ht="33.950000000000003" customHeight="1" x14ac:dyDescent="0.3"/>
    <row r="244" spans="20:20" ht="33.950000000000003" customHeight="1" x14ac:dyDescent="0.3"/>
    <row r="245" spans="20:20" ht="33.950000000000003" customHeight="1" x14ac:dyDescent="0.3"/>
    <row r="246" spans="20:20" ht="33.950000000000003" customHeight="1" x14ac:dyDescent="0.3">
      <c r="T246" s="5" t="s">
        <v>20</v>
      </c>
    </row>
    <row r="247" spans="20:20" ht="33.950000000000003" customHeight="1" x14ac:dyDescent="0.3"/>
    <row r="248" spans="20:20" ht="33.950000000000003" customHeight="1" x14ac:dyDescent="0.3"/>
    <row r="249" spans="20:20" ht="33.950000000000003" customHeight="1" x14ac:dyDescent="0.3"/>
    <row r="250" spans="20:20" ht="33.950000000000003" customHeight="1" x14ac:dyDescent="0.3"/>
    <row r="251" spans="20:20" ht="33.950000000000003" customHeight="1" x14ac:dyDescent="0.3"/>
    <row r="252" spans="20:20" ht="33.950000000000003" customHeight="1" x14ac:dyDescent="0.3"/>
    <row r="253" spans="20:20" ht="33.950000000000003" customHeight="1" x14ac:dyDescent="0.3"/>
    <row r="254" spans="20:20" ht="33.950000000000003" customHeight="1" x14ac:dyDescent="0.3"/>
    <row r="255" spans="20:20" ht="33.950000000000003" customHeight="1" x14ac:dyDescent="0.3"/>
    <row r="256" spans="20:20" ht="33.950000000000003" customHeight="1" x14ac:dyDescent="0.3"/>
    <row r="257" spans="1:6" ht="33.950000000000003" customHeight="1" x14ac:dyDescent="0.3"/>
    <row r="258" spans="1:6" ht="33.950000000000003" customHeight="1" x14ac:dyDescent="0.3"/>
    <row r="259" spans="1:6" ht="33.950000000000003" customHeight="1" x14ac:dyDescent="0.3"/>
    <row r="260" spans="1:6" ht="33.950000000000003" customHeight="1" x14ac:dyDescent="0.3"/>
    <row r="261" spans="1:6" ht="33.950000000000003" customHeight="1" x14ac:dyDescent="0.3">
      <c r="A261" s="34"/>
      <c r="B261" s="34"/>
      <c r="C261" s="34"/>
      <c r="D261" s="34"/>
      <c r="E261" s="34"/>
      <c r="F261" s="34"/>
    </row>
    <row r="262" spans="1:6" ht="33.950000000000003" customHeight="1" x14ac:dyDescent="0.3">
      <c r="A262" s="34"/>
      <c r="B262" s="34"/>
      <c r="C262" s="34"/>
      <c r="D262" s="34"/>
      <c r="E262" s="34"/>
      <c r="F262" s="34"/>
    </row>
    <row r="263" spans="1:6" ht="33.950000000000003" customHeight="1" x14ac:dyDescent="0.3">
      <c r="A263" s="34"/>
      <c r="B263" s="34"/>
      <c r="C263" s="34"/>
      <c r="D263" s="34"/>
      <c r="E263" s="34"/>
      <c r="F263" s="34"/>
    </row>
    <row r="264" spans="1:6" ht="33.950000000000003" customHeight="1" x14ac:dyDescent="0.3">
      <c r="A264" s="34"/>
      <c r="B264" s="34"/>
      <c r="C264" s="34"/>
      <c r="D264" s="34"/>
      <c r="E264" s="34"/>
      <c r="F264" s="34"/>
    </row>
    <row r="265" spans="1:6" ht="33.950000000000003" customHeight="1" x14ac:dyDescent="0.3">
      <c r="A265" s="34"/>
      <c r="B265" s="34"/>
      <c r="C265" s="34"/>
      <c r="D265" s="34"/>
      <c r="E265" s="34"/>
      <c r="F265" s="34"/>
    </row>
    <row r="266" spans="1:6" ht="33.950000000000003" customHeight="1" x14ac:dyDescent="0.3">
      <c r="A266" s="34"/>
      <c r="B266" s="34"/>
      <c r="C266" s="34"/>
      <c r="D266" s="34"/>
      <c r="E266" s="34"/>
      <c r="F266" s="34"/>
    </row>
    <row r="267" spans="1:6" ht="33.950000000000003" customHeight="1" x14ac:dyDescent="0.3">
      <c r="A267" s="34"/>
      <c r="B267" s="34"/>
      <c r="C267" s="34"/>
      <c r="D267" s="34"/>
      <c r="E267" s="34"/>
      <c r="F267" s="34"/>
    </row>
    <row r="268" spans="1:6" ht="33.950000000000003" customHeight="1" x14ac:dyDescent="0.3">
      <c r="A268" s="34"/>
      <c r="B268" s="34"/>
      <c r="C268" s="34"/>
      <c r="D268" s="34"/>
      <c r="E268" s="34"/>
      <c r="F268" s="34"/>
    </row>
    <row r="269" spans="1:6" ht="33.950000000000003" customHeight="1" x14ac:dyDescent="0.3">
      <c r="A269" s="34"/>
      <c r="B269" s="34"/>
      <c r="C269" s="34"/>
      <c r="D269" s="34"/>
      <c r="E269" s="34"/>
      <c r="F269" s="34"/>
    </row>
    <row r="270" spans="1:6" ht="33.950000000000003" customHeight="1" x14ac:dyDescent="0.3">
      <c r="A270" s="34"/>
      <c r="B270" s="34"/>
      <c r="C270" s="34"/>
      <c r="D270" s="34"/>
      <c r="E270" s="34"/>
      <c r="F270" s="34"/>
    </row>
    <row r="271" spans="1:6" ht="33.950000000000003" customHeight="1" x14ac:dyDescent="0.3">
      <c r="A271" s="34"/>
      <c r="B271" s="34"/>
      <c r="C271" s="34"/>
      <c r="D271" s="34"/>
      <c r="E271" s="34"/>
      <c r="F271" s="34"/>
    </row>
    <row r="272" spans="1:6" ht="33.950000000000003" customHeight="1" x14ac:dyDescent="0.3"/>
    <row r="273" spans="2:20" ht="33.950000000000003" customHeight="1" x14ac:dyDescent="0.3"/>
    <row r="274" spans="2:20" ht="33.950000000000003" customHeight="1" x14ac:dyDescent="0.3"/>
    <row r="275" spans="2:20" ht="33.950000000000003" customHeight="1" x14ac:dyDescent="0.3"/>
    <row r="276" spans="2:20" ht="33.950000000000003" customHeight="1" x14ac:dyDescent="0.3"/>
    <row r="277" spans="2:20" ht="33.950000000000003" customHeight="1" x14ac:dyDescent="0.3"/>
    <row r="278" spans="2:20" ht="33.950000000000003" customHeight="1" x14ac:dyDescent="0.3"/>
    <row r="279" spans="2:20" ht="33.950000000000003" customHeight="1" x14ac:dyDescent="0.3"/>
    <row r="280" spans="2:20" ht="33.950000000000003" customHeight="1" x14ac:dyDescent="0.3"/>
    <row r="281" spans="2:20" ht="33.950000000000003" customHeight="1" x14ac:dyDescent="0.3">
      <c r="B281" s="5">
        <v>51000</v>
      </c>
      <c r="D281" s="5">
        <v>1525</v>
      </c>
      <c r="E281" s="5">
        <v>10600</v>
      </c>
      <c r="T281" s="5" t="s">
        <v>21</v>
      </c>
    </row>
    <row r="282" spans="2:20" ht="33.950000000000003" customHeight="1" x14ac:dyDescent="0.3"/>
    <row r="283" spans="2:20" ht="33.950000000000003" customHeight="1" x14ac:dyDescent="0.3"/>
    <row r="284" spans="2:20" ht="33.950000000000003" customHeight="1" x14ac:dyDescent="0.3"/>
    <row r="285" spans="2:20" ht="33.950000000000003" customHeight="1" x14ac:dyDescent="0.3"/>
    <row r="286" spans="2:20" ht="33.950000000000003" customHeight="1" x14ac:dyDescent="0.3"/>
    <row r="287" spans="2:20" ht="33.950000000000003" customHeight="1" x14ac:dyDescent="0.3"/>
    <row r="288" spans="2:20" ht="33.950000000000003" customHeight="1" x14ac:dyDescent="0.3"/>
    <row r="289" spans="1:20" ht="33.950000000000003" customHeight="1" x14ac:dyDescent="0.3"/>
    <row r="290" spans="1:20" ht="33.950000000000003" customHeight="1" x14ac:dyDescent="0.3"/>
    <row r="291" spans="1:20" ht="33.950000000000003" customHeight="1" x14ac:dyDescent="0.3">
      <c r="T291" s="5" t="s">
        <v>22</v>
      </c>
    </row>
    <row r="292" spans="1:20" ht="33.950000000000003" customHeight="1" x14ac:dyDescent="0.3">
      <c r="G292" s="35">
        <v>41462</v>
      </c>
      <c r="H292" s="35"/>
      <c r="I292" s="35"/>
      <c r="J292" s="35"/>
      <c r="K292" s="36"/>
      <c r="L292" s="36"/>
      <c r="M292" s="36"/>
      <c r="N292" s="36"/>
      <c r="O292" s="94"/>
      <c r="P292" s="95"/>
      <c r="Q292" s="94"/>
      <c r="R292" s="94"/>
      <c r="S292" s="35"/>
    </row>
    <row r="293" spans="1:20" ht="33.950000000000003" customHeight="1" x14ac:dyDescent="0.3"/>
    <row r="294" spans="1:20" ht="33.950000000000003" customHeight="1" x14ac:dyDescent="0.3"/>
    <row r="295" spans="1:20" ht="33.950000000000003" customHeight="1" x14ac:dyDescent="0.3"/>
    <row r="296" spans="1:20" ht="33.950000000000003" customHeight="1" x14ac:dyDescent="0.3"/>
    <row r="297" spans="1:20" ht="33.950000000000003" customHeight="1" x14ac:dyDescent="0.3">
      <c r="A297" s="33"/>
      <c r="B297" s="33">
        <v>0</v>
      </c>
      <c r="C297" s="33"/>
      <c r="D297" s="33">
        <v>0</v>
      </c>
      <c r="E297" s="33">
        <v>100000</v>
      </c>
      <c r="T297" s="5" t="s">
        <v>23</v>
      </c>
    </row>
    <row r="298" spans="1:20" ht="33.950000000000003" customHeight="1" x14ac:dyDescent="0.3"/>
    <row r="299" spans="1:20" ht="33.950000000000003" customHeight="1" x14ac:dyDescent="0.3"/>
    <row r="300" spans="1:20" ht="33.950000000000003" customHeight="1" x14ac:dyDescent="0.3">
      <c r="B300" s="37" t="e">
        <f>#REF!+B38+#REF!+#REF!+B51+#REF!+#REF!+#REF!+#REF!+B109+B112+B119+B121+B124+B128+B135+B137+B140+B144+B151+B153+B156+B160+B168+B172+B176+B179+B190+B195+B200+B204+B216+B221+B226+B231+B244+B250+B255+B260+B272+B279+B284+B289+B298</f>
        <v>#REF!</v>
      </c>
      <c r="C300" s="37"/>
      <c r="D300" s="37" t="e">
        <f>#REF!+D38+#REF!+#REF!+D51+#REF!+#REF!+#REF!+#REF!+D109+D112+D119+D121+D124+D128+D135+D137+D140+D144+D151+D153+D156+D160+D168+D172+D176+D179+D190+D195+D200+D204+D216+D221+D226+D231+D244+D250+D255+D260+D272+D279+D284+D289+D298</f>
        <v>#REF!</v>
      </c>
      <c r="E300" s="37" t="e">
        <f>#REF!+E38+#REF!+#REF!+E51+#REF!+#REF!+#REF!+#REF!+E109+E112+E119+E121+E124+E128+E135+E137+E140+E144+E151+E153+E156+E160+E168+E172+E176+E179+E190+E195+E200+E204+E216+E221+E226+E231+E244+E250+E255+E260+E272+E279+E284+E289+E298</f>
        <v>#REF!</v>
      </c>
      <c r="F300" s="37"/>
    </row>
  </sheetData>
  <mergeCells count="10">
    <mergeCell ref="J1:P1"/>
    <mergeCell ref="Q1:W1"/>
    <mergeCell ref="S2:T2"/>
    <mergeCell ref="Q2:R2"/>
    <mergeCell ref="A2:A3"/>
    <mergeCell ref="B2:B3"/>
    <mergeCell ref="J2:K2"/>
    <mergeCell ref="F2:G2"/>
    <mergeCell ref="U2:V2"/>
    <mergeCell ref="L2:M2"/>
  </mergeCells>
  <pageMargins left="0.7" right="0.7" top="0.75" bottom="0.75" header="0.3" footer="0.3"/>
  <pageSetup paperSize="9" scale="34" orientation="landscape" r:id="rId1"/>
  <headerFooter>
    <oddHeader>&amp;L&amp;"Arial,Bold"&amp;14NDAH'S FARM&amp;C&amp;"Arial,Bold"&amp;14NEW VISION POULTRY FARM
BOLIFAMBA, MILE 16, BUEA&amp;RAS AT: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1"/>
  <sheetViews>
    <sheetView tabSelected="1" zoomScale="90" zoomScaleNormal="90" zoomScaleSheetLayoutView="50" workbookViewId="0">
      <pane xSplit="2" ySplit="4" topLeftCell="C5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ColWidth="9.140625" defaultRowHeight="20.25" x14ac:dyDescent="0.3"/>
  <cols>
    <col min="1" max="1" width="10.85546875" style="5" customWidth="1"/>
    <col min="2" max="2" width="13.28515625" style="5" customWidth="1"/>
    <col min="3" max="3" width="17.7109375" style="5" customWidth="1"/>
    <col min="4" max="4" width="19.7109375" style="5" customWidth="1"/>
    <col min="5" max="5" width="21" style="5" customWidth="1"/>
    <col min="6" max="6" width="24.7109375" style="5" customWidth="1"/>
    <col min="7" max="7" width="15.42578125" style="5" customWidth="1"/>
    <col min="8" max="8" width="20" style="5" customWidth="1"/>
    <col min="9" max="9" width="20.140625" style="5" customWidth="1"/>
    <col min="10" max="10" width="12.85546875" style="5" customWidth="1"/>
    <col min="11" max="11" width="13.7109375" style="5" customWidth="1"/>
    <col min="12" max="12" width="9.140625" style="5"/>
    <col min="13" max="16384" width="9.140625" style="31"/>
  </cols>
  <sheetData>
    <row r="1" spans="1:12" ht="30" customHeight="1" thickBot="1" x14ac:dyDescent="0.35">
      <c r="A1" s="51" t="s">
        <v>59</v>
      </c>
      <c r="B1" s="64"/>
      <c r="C1" s="64"/>
      <c r="D1" s="64"/>
      <c r="E1" s="64"/>
      <c r="F1" s="64"/>
      <c r="G1" s="64"/>
    </row>
    <row r="2" spans="1:12" ht="30" customHeight="1" thickBot="1" x14ac:dyDescent="0.35">
      <c r="A2" s="51"/>
      <c r="B2" s="64"/>
      <c r="C2" s="130" t="s">
        <v>60</v>
      </c>
      <c r="D2" s="131"/>
      <c r="E2" s="131"/>
      <c r="F2" s="131"/>
      <c r="G2" s="132"/>
      <c r="H2" s="130" t="s">
        <v>66</v>
      </c>
      <c r="I2" s="131"/>
      <c r="J2" s="131"/>
      <c r="K2" s="131"/>
      <c r="L2" s="132"/>
    </row>
    <row r="3" spans="1:12" s="6" customFormat="1" ht="33.950000000000003" customHeight="1" thickBot="1" x14ac:dyDescent="0.35">
      <c r="A3" s="119" t="s">
        <v>0</v>
      </c>
      <c r="B3" s="134" t="s">
        <v>1</v>
      </c>
      <c r="C3" s="103" t="s">
        <v>52</v>
      </c>
      <c r="D3" s="97" t="s">
        <v>53</v>
      </c>
      <c r="E3" s="128" t="s">
        <v>58</v>
      </c>
      <c r="F3" s="129"/>
      <c r="G3" s="104" t="s">
        <v>17</v>
      </c>
      <c r="H3" s="98" t="s">
        <v>61</v>
      </c>
      <c r="I3" s="4" t="s">
        <v>53</v>
      </c>
      <c r="J3" s="133" t="s">
        <v>63</v>
      </c>
      <c r="K3" s="133"/>
      <c r="L3" s="99" t="s">
        <v>17</v>
      </c>
    </row>
    <row r="4" spans="1:12" s="6" customFormat="1" ht="33.950000000000003" customHeight="1" thickBot="1" x14ac:dyDescent="0.35">
      <c r="A4" s="120"/>
      <c r="B4" s="135"/>
      <c r="C4" s="105" t="s">
        <v>54</v>
      </c>
      <c r="D4" s="52" t="s">
        <v>55</v>
      </c>
      <c r="E4" s="7" t="s">
        <v>56</v>
      </c>
      <c r="F4" s="4" t="s">
        <v>57</v>
      </c>
      <c r="G4" s="106"/>
      <c r="H4" s="98" t="s">
        <v>67</v>
      </c>
      <c r="I4" s="4" t="s">
        <v>62</v>
      </c>
      <c r="J4" s="4" t="s">
        <v>64</v>
      </c>
      <c r="K4" s="4" t="s">
        <v>65</v>
      </c>
      <c r="L4" s="99"/>
    </row>
    <row r="5" spans="1:12" s="6" customFormat="1" ht="33.950000000000003" customHeight="1" x14ac:dyDescent="0.3">
      <c r="A5" s="47" t="s">
        <v>44</v>
      </c>
      <c r="B5" s="48">
        <v>46127</v>
      </c>
      <c r="C5" s="107">
        <v>417</v>
      </c>
      <c r="D5" s="60">
        <v>175</v>
      </c>
      <c r="E5" s="61">
        <v>35</v>
      </c>
      <c r="F5" s="40">
        <v>153</v>
      </c>
      <c r="G5" s="108">
        <f>SUM(C5:F5)</f>
        <v>780</v>
      </c>
      <c r="H5" s="98"/>
      <c r="I5" s="4"/>
      <c r="J5" s="4">
        <v>4</v>
      </c>
      <c r="K5" s="4">
        <v>4</v>
      </c>
      <c r="L5" s="99">
        <f>SUM(H5:K5)</f>
        <v>8</v>
      </c>
    </row>
    <row r="6" spans="1:12" s="6" customFormat="1" ht="33.950000000000003" customHeight="1" x14ac:dyDescent="0.3">
      <c r="A6" s="47" t="s">
        <v>39</v>
      </c>
      <c r="B6" s="48">
        <v>46235</v>
      </c>
      <c r="C6" s="107">
        <f>211+35+256+208+126</f>
        <v>836</v>
      </c>
      <c r="D6" s="60">
        <v>157</v>
      </c>
      <c r="E6" s="61">
        <f>31+8</f>
        <v>39</v>
      </c>
      <c r="F6" s="40">
        <v>177</v>
      </c>
      <c r="G6" s="108">
        <f>SUM(C6:F6)</f>
        <v>1209</v>
      </c>
      <c r="H6" s="98"/>
      <c r="I6" s="4"/>
      <c r="J6" s="4"/>
      <c r="K6" s="4"/>
      <c r="L6" s="99"/>
    </row>
    <row r="7" spans="1:12" s="5" customFormat="1" ht="33.950000000000003" customHeight="1" x14ac:dyDescent="0.3">
      <c r="A7" s="8"/>
      <c r="B7" s="50"/>
      <c r="C7" s="109"/>
      <c r="D7" s="11"/>
      <c r="E7" s="11"/>
      <c r="F7" s="11"/>
      <c r="G7" s="110"/>
      <c r="H7" s="98"/>
      <c r="I7" s="4"/>
      <c r="J7" s="4"/>
      <c r="K7" s="4"/>
      <c r="L7" s="99"/>
    </row>
    <row r="8" spans="1:12" s="5" customFormat="1" ht="33.950000000000003" customHeight="1" x14ac:dyDescent="0.3">
      <c r="A8" s="8"/>
      <c r="B8" s="50"/>
      <c r="C8" s="109"/>
      <c r="D8" s="11"/>
      <c r="E8" s="11"/>
      <c r="F8" s="11"/>
      <c r="G8" s="110"/>
      <c r="H8" s="98"/>
      <c r="I8" s="4"/>
      <c r="J8" s="4"/>
      <c r="K8" s="4"/>
      <c r="L8" s="99"/>
    </row>
    <row r="9" spans="1:12" s="5" customFormat="1" ht="33.950000000000003" customHeight="1" x14ac:dyDescent="0.3">
      <c r="A9" s="8"/>
      <c r="B9" s="50"/>
      <c r="C9" s="109"/>
      <c r="D9" s="11"/>
      <c r="E9" s="11"/>
      <c r="F9" s="11"/>
      <c r="G9" s="110"/>
      <c r="H9" s="98"/>
      <c r="I9" s="4"/>
      <c r="J9" s="4"/>
      <c r="K9" s="4"/>
      <c r="L9" s="99"/>
    </row>
    <row r="10" spans="1:12" s="20" customFormat="1" ht="33.950000000000003" customHeight="1" thickBot="1" x14ac:dyDescent="0.35">
      <c r="A10" s="17"/>
      <c r="B10" s="102"/>
      <c r="C10" s="111"/>
      <c r="D10" s="18"/>
      <c r="E10" s="18"/>
      <c r="F10" s="18"/>
      <c r="G10" s="112"/>
      <c r="H10" s="100"/>
      <c r="I10" s="70"/>
      <c r="J10" s="70"/>
      <c r="K10" s="70"/>
      <c r="L10" s="101"/>
    </row>
    <row r="11" spans="1:12" s="20" customFormat="1" ht="33.950000000000003" customHeight="1" x14ac:dyDescent="0.3">
      <c r="E11" s="21"/>
      <c r="F11" s="21"/>
      <c r="G11" s="21"/>
    </row>
    <row r="12" spans="1:12" s="20" customFormat="1" ht="33.950000000000003" customHeight="1" x14ac:dyDescent="0.3">
      <c r="F12" s="27"/>
    </row>
    <row r="13" spans="1:12" s="29" customFormat="1" ht="33.950000000000003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s="29" customFormat="1" ht="33.950000000000003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s="29" customFormat="1" ht="33.950000000000003" customHeight="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s="29" customFormat="1" ht="33.950000000000003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32" s="29" customFormat="1" ht="33.950000000000003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32" s="29" customFormat="1" ht="33.950000000000003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32" s="29" customFormat="1" ht="33.950000000000003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32" s="29" customFormat="1" ht="33.950000000000003" customHeight="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32" s="29" customFormat="1" ht="33.950000000000003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32" s="29" customFormat="1" ht="33.950000000000003" customHeigh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32" s="29" customFormat="1" ht="33.950000000000003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32" s="29" customFormat="1" ht="33.950000000000003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32" s="29" customFormat="1" ht="33.950000000000003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32" s="29" customFormat="1" ht="33.950000000000003" customHeight="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32" ht="33.950000000000003" customHeight="1" x14ac:dyDescent="0.3">
      <c r="A27" s="20"/>
      <c r="B27" s="20"/>
      <c r="C27" s="20"/>
      <c r="D27" s="20"/>
      <c r="E27" s="20"/>
      <c r="F27" s="20"/>
      <c r="G27" s="20"/>
    </row>
    <row r="28" spans="1:32" ht="33.950000000000003" customHeight="1" x14ac:dyDescent="0.3"/>
    <row r="29" spans="1:32" ht="33.950000000000003" customHeight="1" x14ac:dyDescent="0.3"/>
    <row r="30" spans="1:32" s="5" customFormat="1" ht="33.950000000000003" customHeight="1" x14ac:dyDescent="0.3"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2" s="5" customFormat="1" ht="33.950000000000003" customHeight="1" x14ac:dyDescent="0.3"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 spans="1:32" s="5" customFormat="1" ht="33.950000000000003" customHeight="1" x14ac:dyDescent="0.3"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spans="13:32" s="5" customFormat="1" ht="33.950000000000003" customHeight="1" x14ac:dyDescent="0.3"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 spans="13:32" s="5" customFormat="1" ht="33.950000000000003" customHeight="1" x14ac:dyDescent="0.3"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 spans="13:32" s="5" customFormat="1" ht="33.950000000000003" customHeight="1" x14ac:dyDescent="0.3"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 spans="13:32" s="5" customFormat="1" ht="33.950000000000003" customHeight="1" x14ac:dyDescent="0.3"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 spans="13:32" s="5" customFormat="1" ht="33.950000000000003" customHeight="1" x14ac:dyDescent="0.3"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spans="13:32" s="5" customFormat="1" ht="33.950000000000003" customHeight="1" x14ac:dyDescent="0.3"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</row>
    <row r="39" spans="13:32" s="5" customFormat="1" ht="33.950000000000003" customHeight="1" x14ac:dyDescent="0.3"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</row>
    <row r="40" spans="13:32" s="5" customFormat="1" ht="33.950000000000003" customHeight="1" x14ac:dyDescent="0.3"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spans="13:32" s="5" customFormat="1" ht="33.950000000000003" customHeight="1" x14ac:dyDescent="0.3"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</row>
    <row r="42" spans="13:32" s="5" customFormat="1" ht="33.950000000000003" customHeight="1" x14ac:dyDescent="0.3"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3:32" s="5" customFormat="1" ht="33.950000000000003" customHeight="1" x14ac:dyDescent="0.3"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spans="13:32" s="5" customFormat="1" ht="33.950000000000003" customHeight="1" x14ac:dyDescent="0.3"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 spans="13:32" s="5" customFormat="1" ht="33.950000000000003" customHeight="1" x14ac:dyDescent="0.3"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</row>
    <row r="46" spans="13:32" s="5" customFormat="1" ht="33.950000000000003" customHeight="1" x14ac:dyDescent="0.3"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spans="13:32" s="5" customFormat="1" ht="33.950000000000003" customHeight="1" x14ac:dyDescent="0.3"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</row>
    <row r="48" spans="13:32" s="5" customFormat="1" ht="33.950000000000003" customHeight="1" x14ac:dyDescent="0.3"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</row>
    <row r="49" spans="1:32" s="5" customFormat="1" ht="33.950000000000003" customHeight="1" x14ac:dyDescent="0.3"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spans="1:32" s="5" customFormat="1" ht="33.950000000000003" customHeight="1" x14ac:dyDescent="0.3"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</row>
    <row r="51" spans="1:32" s="5" customFormat="1" ht="33.950000000000003" customHeight="1" x14ac:dyDescent="0.3"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</row>
    <row r="52" spans="1:32" s="5" customFormat="1" ht="33.950000000000003" customHeight="1" x14ac:dyDescent="0.3"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spans="1:32" s="5" customFormat="1" ht="33.950000000000003" customHeight="1" x14ac:dyDescent="0.3"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</row>
    <row r="54" spans="1:32" s="5" customFormat="1" ht="33.950000000000003" customHeight="1" x14ac:dyDescent="0.3"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</row>
    <row r="55" spans="1:32" s="5" customFormat="1" ht="33.950000000000003" customHeight="1" x14ac:dyDescent="0.3">
      <c r="A55" s="33"/>
      <c r="B55" s="33"/>
      <c r="C55" s="33"/>
      <c r="D55" s="33"/>
      <c r="E55" s="33"/>
      <c r="F55" s="33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spans="1:32" s="5" customFormat="1" ht="33.950000000000003" customHeight="1" x14ac:dyDescent="0.3">
      <c r="A56" s="33"/>
      <c r="B56" s="33"/>
      <c r="C56" s="33"/>
      <c r="D56" s="33"/>
      <c r="E56" s="33"/>
      <c r="F56" s="33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</row>
    <row r="57" spans="1:32" s="5" customFormat="1" ht="33.950000000000003" customHeight="1" x14ac:dyDescent="0.3"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</row>
    <row r="58" spans="1:32" s="5" customFormat="1" ht="33.950000000000003" customHeight="1" x14ac:dyDescent="0.3"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spans="1:32" s="5" customFormat="1" ht="33.950000000000003" customHeight="1" x14ac:dyDescent="0.3"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</row>
    <row r="60" spans="1:32" s="5" customFormat="1" ht="33.950000000000003" customHeight="1" x14ac:dyDescent="0.3"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</row>
    <row r="61" spans="1:32" s="5" customFormat="1" ht="33.950000000000003" customHeight="1" x14ac:dyDescent="0.3"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spans="1:32" s="5" customFormat="1" ht="33.950000000000003" customHeight="1" x14ac:dyDescent="0.3"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</row>
    <row r="63" spans="1:32" s="5" customFormat="1" ht="33.950000000000003" customHeight="1" x14ac:dyDescent="0.3"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</row>
    <row r="64" spans="1:32" s="5" customFormat="1" ht="33.950000000000003" customHeight="1" x14ac:dyDescent="0.3"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13:32" s="5" customFormat="1" ht="33.950000000000003" customHeight="1" x14ac:dyDescent="0.3"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</row>
    <row r="66" spans="13:32" s="5" customFormat="1" ht="33.950000000000003" customHeight="1" x14ac:dyDescent="0.3"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</row>
    <row r="67" spans="13:32" s="5" customFormat="1" ht="33.950000000000003" customHeight="1" x14ac:dyDescent="0.3"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spans="13:32" s="5" customFormat="1" ht="33.950000000000003" customHeight="1" x14ac:dyDescent="0.3"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</row>
    <row r="69" spans="13:32" s="5" customFormat="1" ht="33.950000000000003" customHeight="1" x14ac:dyDescent="0.3"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</row>
    <row r="70" spans="13:32" s="5" customFormat="1" ht="33.950000000000003" customHeight="1" x14ac:dyDescent="0.3"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spans="13:32" s="5" customFormat="1" ht="33.950000000000003" customHeight="1" x14ac:dyDescent="0.3"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</row>
    <row r="72" spans="13:32" s="5" customFormat="1" ht="33.950000000000003" customHeight="1" x14ac:dyDescent="0.3"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</row>
    <row r="73" spans="13:32" s="5" customFormat="1" ht="33.950000000000003" customHeight="1" x14ac:dyDescent="0.3"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</row>
    <row r="74" spans="13:32" s="5" customFormat="1" ht="33.950000000000003" customHeight="1" x14ac:dyDescent="0.3"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</row>
    <row r="75" spans="13:32" s="5" customFormat="1" ht="33.950000000000003" customHeight="1" x14ac:dyDescent="0.3"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</row>
    <row r="76" spans="13:32" s="5" customFormat="1" ht="33.950000000000003" customHeight="1" x14ac:dyDescent="0.3"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</row>
    <row r="77" spans="13:32" s="5" customFormat="1" ht="33.950000000000003" customHeight="1" x14ac:dyDescent="0.3"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</row>
    <row r="78" spans="13:32" s="5" customFormat="1" ht="33.950000000000003" customHeight="1" x14ac:dyDescent="0.3"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</row>
    <row r="79" spans="13:32" s="5" customFormat="1" ht="33.950000000000003" customHeight="1" x14ac:dyDescent="0.3"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</row>
    <row r="80" spans="13:32" s="5" customFormat="1" ht="33.950000000000003" customHeight="1" x14ac:dyDescent="0.3"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</row>
    <row r="81" spans="13:32" s="5" customFormat="1" ht="33.950000000000003" customHeight="1" x14ac:dyDescent="0.3"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</row>
    <row r="82" spans="13:32" s="5" customFormat="1" ht="33.950000000000003" customHeight="1" x14ac:dyDescent="0.3"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</row>
    <row r="83" spans="13:32" s="5" customFormat="1" ht="33.950000000000003" customHeight="1" x14ac:dyDescent="0.3"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</row>
    <row r="84" spans="13:32" s="5" customFormat="1" ht="33.950000000000003" customHeight="1" x14ac:dyDescent="0.3"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</row>
    <row r="85" spans="13:32" s="5" customFormat="1" ht="33.950000000000003" customHeight="1" x14ac:dyDescent="0.3"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</row>
    <row r="86" spans="13:32" s="5" customFormat="1" ht="33.950000000000003" customHeight="1" x14ac:dyDescent="0.3"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</row>
    <row r="87" spans="13:32" s="5" customFormat="1" ht="33.950000000000003" customHeight="1" x14ac:dyDescent="0.3"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</row>
    <row r="88" spans="13:32" s="5" customFormat="1" ht="33.950000000000003" customHeight="1" x14ac:dyDescent="0.3"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</row>
    <row r="89" spans="13:32" s="5" customFormat="1" ht="33.950000000000003" customHeight="1" x14ac:dyDescent="0.3"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</row>
    <row r="90" spans="13:32" s="5" customFormat="1" ht="33.950000000000003" customHeight="1" x14ac:dyDescent="0.3"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</row>
    <row r="91" spans="13:32" s="5" customFormat="1" ht="33.950000000000003" customHeight="1" x14ac:dyDescent="0.3"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</row>
    <row r="92" spans="13:32" s="5" customFormat="1" ht="33.950000000000003" customHeight="1" x14ac:dyDescent="0.3"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</row>
    <row r="93" spans="13:32" s="5" customFormat="1" ht="33.950000000000003" customHeight="1" x14ac:dyDescent="0.3"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</row>
    <row r="94" spans="13:32" s="5" customFormat="1" ht="33.950000000000003" customHeight="1" x14ac:dyDescent="0.3"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</row>
    <row r="95" spans="13:32" s="5" customFormat="1" ht="33.950000000000003" customHeight="1" x14ac:dyDescent="0.3"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</row>
    <row r="96" spans="13:32" s="5" customFormat="1" ht="33.950000000000003" customHeight="1" x14ac:dyDescent="0.3"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</row>
    <row r="97" spans="13:32" s="5" customFormat="1" ht="33.950000000000003" customHeight="1" x14ac:dyDescent="0.3"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</row>
    <row r="98" spans="13:32" s="5" customFormat="1" ht="33.950000000000003" customHeight="1" x14ac:dyDescent="0.3"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</row>
    <row r="99" spans="13:32" s="5" customFormat="1" ht="33.950000000000003" customHeight="1" x14ac:dyDescent="0.3"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</row>
    <row r="100" spans="13:32" s="5" customFormat="1" ht="33.950000000000003" customHeight="1" x14ac:dyDescent="0.3"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</row>
    <row r="101" spans="13:32" s="5" customFormat="1" ht="33.950000000000003" customHeight="1" x14ac:dyDescent="0.3"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</row>
    <row r="102" spans="13:32" s="5" customFormat="1" ht="33.950000000000003" customHeight="1" x14ac:dyDescent="0.3"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</row>
    <row r="103" spans="13:32" s="5" customFormat="1" ht="33.950000000000003" customHeight="1" x14ac:dyDescent="0.3"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</row>
    <row r="104" spans="13:32" s="5" customFormat="1" ht="33.950000000000003" customHeight="1" x14ac:dyDescent="0.3"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</row>
    <row r="105" spans="13:32" s="5" customFormat="1" ht="33.950000000000003" customHeight="1" x14ac:dyDescent="0.3"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</row>
    <row r="106" spans="13:32" s="5" customFormat="1" ht="33.950000000000003" customHeight="1" x14ac:dyDescent="0.3"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</row>
    <row r="107" spans="13:32" s="5" customFormat="1" ht="33.950000000000003" customHeight="1" x14ac:dyDescent="0.3"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</row>
    <row r="108" spans="13:32" s="5" customFormat="1" ht="33.950000000000003" customHeight="1" x14ac:dyDescent="0.3"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</row>
    <row r="109" spans="13:32" s="5" customFormat="1" ht="33.950000000000003" customHeight="1" x14ac:dyDescent="0.3"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</row>
    <row r="110" spans="13:32" s="5" customFormat="1" ht="33.950000000000003" customHeight="1" x14ac:dyDescent="0.3"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</row>
    <row r="111" spans="13:32" s="5" customFormat="1" ht="33.950000000000003" customHeight="1" x14ac:dyDescent="0.3"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</row>
    <row r="112" spans="13:32" s="5" customFormat="1" ht="33.950000000000003" customHeight="1" x14ac:dyDescent="0.3"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</row>
    <row r="113" spans="13:32" s="5" customFormat="1" ht="33.950000000000003" customHeight="1" x14ac:dyDescent="0.3"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</row>
    <row r="114" spans="13:32" s="5" customFormat="1" ht="33.950000000000003" customHeight="1" x14ac:dyDescent="0.3"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</row>
    <row r="115" spans="13:32" s="5" customFormat="1" ht="33.950000000000003" customHeight="1" x14ac:dyDescent="0.3"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</row>
    <row r="116" spans="13:32" s="5" customFormat="1" ht="33.950000000000003" customHeight="1" x14ac:dyDescent="0.3"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</row>
    <row r="117" spans="13:32" s="5" customFormat="1" ht="33.950000000000003" customHeight="1" x14ac:dyDescent="0.3"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</row>
    <row r="118" spans="13:32" s="5" customFormat="1" ht="33.950000000000003" customHeight="1" x14ac:dyDescent="0.3"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</row>
    <row r="119" spans="13:32" s="5" customFormat="1" ht="33.950000000000003" customHeight="1" x14ac:dyDescent="0.3"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</row>
    <row r="120" spans="13:32" s="5" customFormat="1" ht="33.950000000000003" customHeight="1" x14ac:dyDescent="0.3"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</row>
    <row r="121" spans="13:32" s="5" customFormat="1" ht="33.950000000000003" customHeight="1" x14ac:dyDescent="0.3"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</row>
    <row r="122" spans="13:32" s="5" customFormat="1" ht="33.950000000000003" customHeight="1" x14ac:dyDescent="0.3"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</row>
    <row r="123" spans="13:32" s="5" customFormat="1" ht="33.950000000000003" customHeight="1" x14ac:dyDescent="0.3"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</row>
    <row r="124" spans="13:32" s="5" customFormat="1" ht="33.950000000000003" customHeight="1" x14ac:dyDescent="0.3"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</row>
    <row r="125" spans="13:32" s="5" customFormat="1" ht="33.950000000000003" customHeight="1" x14ac:dyDescent="0.3"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</row>
    <row r="126" spans="13:32" s="5" customFormat="1" ht="33.950000000000003" customHeight="1" x14ac:dyDescent="0.3"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</row>
    <row r="127" spans="13:32" s="5" customFormat="1" ht="33.950000000000003" customHeight="1" x14ac:dyDescent="0.3"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</row>
    <row r="128" spans="13:32" s="5" customFormat="1" ht="33.950000000000003" customHeight="1" x14ac:dyDescent="0.3"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</row>
    <row r="129" spans="13:32" s="5" customFormat="1" ht="33.950000000000003" customHeight="1" x14ac:dyDescent="0.3"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</row>
    <row r="130" spans="13:32" s="5" customFormat="1" ht="33.950000000000003" customHeight="1" x14ac:dyDescent="0.3"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</row>
    <row r="131" spans="13:32" s="5" customFormat="1" ht="33.950000000000003" customHeight="1" x14ac:dyDescent="0.3"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</row>
    <row r="132" spans="13:32" s="5" customFormat="1" ht="33.950000000000003" customHeight="1" x14ac:dyDescent="0.3"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</row>
    <row r="133" spans="13:32" s="5" customFormat="1" ht="33.950000000000003" customHeight="1" x14ac:dyDescent="0.3"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</row>
    <row r="134" spans="13:32" s="5" customFormat="1" ht="33.950000000000003" customHeight="1" x14ac:dyDescent="0.3"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</row>
    <row r="135" spans="13:32" s="5" customFormat="1" ht="33.950000000000003" customHeight="1" x14ac:dyDescent="0.3"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</row>
    <row r="136" spans="13:32" s="5" customFormat="1" ht="33.950000000000003" customHeight="1" x14ac:dyDescent="0.3"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</row>
    <row r="137" spans="13:32" s="5" customFormat="1" ht="33.950000000000003" customHeight="1" x14ac:dyDescent="0.3"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</row>
    <row r="138" spans="13:32" s="5" customFormat="1" ht="33.950000000000003" customHeight="1" x14ac:dyDescent="0.3"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</row>
    <row r="139" spans="13:32" s="5" customFormat="1" ht="33.950000000000003" customHeight="1" x14ac:dyDescent="0.3"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</row>
    <row r="140" spans="13:32" s="5" customFormat="1" ht="33.950000000000003" customHeight="1" x14ac:dyDescent="0.3"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</row>
    <row r="141" spans="13:32" s="5" customFormat="1" ht="33.950000000000003" customHeight="1" x14ac:dyDescent="0.3"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</row>
    <row r="142" spans="13:32" s="5" customFormat="1" ht="33.950000000000003" customHeight="1" x14ac:dyDescent="0.3"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</row>
    <row r="143" spans="13:32" s="5" customFormat="1" ht="33.950000000000003" customHeight="1" x14ac:dyDescent="0.3"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</row>
    <row r="144" spans="13:32" s="5" customFormat="1" ht="33.950000000000003" customHeight="1" x14ac:dyDescent="0.3"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</row>
    <row r="145" spans="13:32" s="5" customFormat="1" ht="33.950000000000003" customHeight="1" x14ac:dyDescent="0.3"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</row>
    <row r="146" spans="13:32" s="5" customFormat="1" ht="33.950000000000003" customHeight="1" x14ac:dyDescent="0.3"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</row>
    <row r="147" spans="13:32" s="5" customFormat="1" ht="33.950000000000003" customHeight="1" x14ac:dyDescent="0.3"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</row>
    <row r="148" spans="13:32" s="5" customFormat="1" ht="33.950000000000003" customHeight="1" x14ac:dyDescent="0.3"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</row>
    <row r="149" spans="13:32" s="5" customFormat="1" ht="33.950000000000003" customHeight="1" x14ac:dyDescent="0.3"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</row>
    <row r="150" spans="13:32" s="5" customFormat="1" ht="33.950000000000003" customHeight="1" x14ac:dyDescent="0.3"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</row>
    <row r="151" spans="13:32" s="5" customFormat="1" ht="33.950000000000003" customHeight="1" x14ac:dyDescent="0.3"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</row>
    <row r="152" spans="13:32" s="5" customFormat="1" ht="33.950000000000003" customHeight="1" x14ac:dyDescent="0.3"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</row>
    <row r="153" spans="13:32" s="5" customFormat="1" ht="33.950000000000003" customHeight="1" x14ac:dyDescent="0.3"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</row>
    <row r="154" spans="13:32" s="5" customFormat="1" ht="33.950000000000003" customHeight="1" x14ac:dyDescent="0.3"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</row>
    <row r="155" spans="13:32" s="5" customFormat="1" ht="33.950000000000003" customHeight="1" x14ac:dyDescent="0.3"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</row>
    <row r="156" spans="13:32" s="5" customFormat="1" ht="33.950000000000003" customHeight="1" x14ac:dyDescent="0.3"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</row>
    <row r="157" spans="13:32" s="5" customFormat="1" ht="33.950000000000003" customHeight="1" x14ac:dyDescent="0.3"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</row>
    <row r="158" spans="13:32" s="5" customFormat="1" ht="33.950000000000003" customHeight="1" x14ac:dyDescent="0.3"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</row>
    <row r="159" spans="13:32" s="5" customFormat="1" ht="33.950000000000003" customHeight="1" x14ac:dyDescent="0.3"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</row>
    <row r="160" spans="13:32" s="5" customFormat="1" ht="33.950000000000003" customHeight="1" x14ac:dyDescent="0.3"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</row>
    <row r="161" spans="1:32" s="5" customFormat="1" ht="33.950000000000003" customHeight="1" x14ac:dyDescent="0.3"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</row>
    <row r="162" spans="1:32" s="5" customFormat="1" ht="33.950000000000003" customHeight="1" x14ac:dyDescent="0.3">
      <c r="A162" s="34"/>
      <c r="B162" s="34"/>
      <c r="C162" s="34"/>
      <c r="D162" s="34"/>
      <c r="E162" s="34"/>
      <c r="F162" s="34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</row>
    <row r="163" spans="1:32" s="5" customFormat="1" ht="33.950000000000003" customHeight="1" x14ac:dyDescent="0.3">
      <c r="A163" s="34"/>
      <c r="B163" s="34"/>
      <c r="C163" s="34"/>
      <c r="D163" s="34"/>
      <c r="E163" s="34"/>
      <c r="F163" s="34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</row>
    <row r="164" spans="1:32" s="5" customFormat="1" ht="33.950000000000003" customHeight="1" x14ac:dyDescent="0.3">
      <c r="A164" s="34"/>
      <c r="B164" s="34"/>
      <c r="C164" s="34"/>
      <c r="D164" s="34"/>
      <c r="E164" s="34"/>
      <c r="F164" s="34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</row>
    <row r="165" spans="1:32" s="5" customFormat="1" ht="33.950000000000003" customHeight="1" x14ac:dyDescent="0.3">
      <c r="A165" s="34"/>
      <c r="B165" s="34"/>
      <c r="C165" s="34"/>
      <c r="D165" s="34"/>
      <c r="E165" s="34"/>
      <c r="F165" s="34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</row>
    <row r="166" spans="1:32" s="5" customFormat="1" ht="33.950000000000003" customHeight="1" x14ac:dyDescent="0.3">
      <c r="A166" s="34"/>
      <c r="B166" s="34"/>
      <c r="C166" s="34"/>
      <c r="D166" s="34"/>
      <c r="E166" s="34"/>
      <c r="F166" s="34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</row>
    <row r="167" spans="1:32" s="5" customFormat="1" ht="33.950000000000003" customHeight="1" x14ac:dyDescent="0.3">
      <c r="A167" s="34"/>
      <c r="B167" s="34"/>
      <c r="C167" s="34"/>
      <c r="D167" s="34"/>
      <c r="E167" s="34"/>
      <c r="F167" s="34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</row>
    <row r="168" spans="1:32" s="5" customFormat="1" ht="33.950000000000003" customHeight="1" x14ac:dyDescent="0.3">
      <c r="A168" s="34"/>
      <c r="B168" s="34"/>
      <c r="C168" s="34"/>
      <c r="D168" s="34"/>
      <c r="E168" s="34"/>
      <c r="F168" s="34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</row>
    <row r="169" spans="1:32" s="5" customFormat="1" ht="33.950000000000003" customHeight="1" x14ac:dyDescent="0.3">
      <c r="A169" s="34"/>
      <c r="B169" s="34"/>
      <c r="C169" s="34"/>
      <c r="D169" s="34"/>
      <c r="E169" s="34"/>
      <c r="F169" s="34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</row>
    <row r="170" spans="1:32" s="5" customFormat="1" ht="33.950000000000003" customHeight="1" x14ac:dyDescent="0.3">
      <c r="A170" s="34"/>
      <c r="B170" s="34"/>
      <c r="C170" s="34"/>
      <c r="D170" s="34"/>
      <c r="E170" s="34"/>
      <c r="F170" s="34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</row>
    <row r="171" spans="1:32" s="5" customFormat="1" ht="33.950000000000003" customHeight="1" x14ac:dyDescent="0.3">
      <c r="A171" s="34"/>
      <c r="B171" s="34"/>
      <c r="C171" s="34"/>
      <c r="D171" s="34"/>
      <c r="E171" s="34"/>
      <c r="F171" s="34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</row>
    <row r="172" spans="1:32" s="5" customFormat="1" ht="33.950000000000003" customHeight="1" x14ac:dyDescent="0.3">
      <c r="A172" s="34"/>
      <c r="B172" s="34"/>
      <c r="C172" s="34"/>
      <c r="D172" s="34"/>
      <c r="E172" s="34"/>
      <c r="F172" s="34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</row>
    <row r="173" spans="1:32" s="5" customFormat="1" ht="33.950000000000003" customHeight="1" x14ac:dyDescent="0.3"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</row>
    <row r="174" spans="1:32" s="5" customFormat="1" ht="33.950000000000003" customHeight="1" x14ac:dyDescent="0.3"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</row>
    <row r="175" spans="1:32" s="5" customFormat="1" ht="33.950000000000003" customHeight="1" x14ac:dyDescent="0.3"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</row>
    <row r="176" spans="1:32" s="5" customFormat="1" ht="33.950000000000003" customHeight="1" x14ac:dyDescent="0.3"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</row>
    <row r="177" spans="2:32" s="5" customFormat="1" ht="33.950000000000003" customHeight="1" x14ac:dyDescent="0.3"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</row>
    <row r="178" spans="2:32" s="5" customFormat="1" ht="33.950000000000003" customHeight="1" x14ac:dyDescent="0.3"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</row>
    <row r="179" spans="2:32" s="5" customFormat="1" ht="33.950000000000003" customHeight="1" x14ac:dyDescent="0.3"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</row>
    <row r="180" spans="2:32" s="5" customFormat="1" ht="33.950000000000003" customHeight="1" x14ac:dyDescent="0.3"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</row>
    <row r="181" spans="2:32" s="5" customFormat="1" ht="33.950000000000003" customHeight="1" x14ac:dyDescent="0.3"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</row>
    <row r="182" spans="2:32" s="5" customFormat="1" ht="33.950000000000003" customHeight="1" x14ac:dyDescent="0.3">
      <c r="B182" s="5">
        <v>51000</v>
      </c>
      <c r="D182" s="5">
        <v>1525</v>
      </c>
      <c r="E182" s="5">
        <v>10600</v>
      </c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</row>
    <row r="183" spans="2:32" s="5" customFormat="1" ht="33.950000000000003" customHeight="1" x14ac:dyDescent="0.3"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</row>
    <row r="184" spans="2:32" s="5" customFormat="1" ht="33.950000000000003" customHeight="1" x14ac:dyDescent="0.3"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</row>
    <row r="185" spans="2:32" s="5" customFormat="1" ht="33.950000000000003" customHeight="1" x14ac:dyDescent="0.3"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</row>
    <row r="186" spans="2:32" s="5" customFormat="1" ht="33.950000000000003" customHeight="1" x14ac:dyDescent="0.3"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</row>
    <row r="187" spans="2:32" s="5" customFormat="1" ht="33.950000000000003" customHeight="1" x14ac:dyDescent="0.3"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</row>
    <row r="188" spans="2:32" s="5" customFormat="1" ht="33.950000000000003" customHeight="1" x14ac:dyDescent="0.3"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</row>
    <row r="189" spans="2:32" s="5" customFormat="1" ht="33.950000000000003" customHeight="1" x14ac:dyDescent="0.3"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</row>
    <row r="190" spans="2:32" s="5" customFormat="1" ht="33.950000000000003" customHeight="1" x14ac:dyDescent="0.3"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</row>
    <row r="191" spans="2:32" s="5" customFormat="1" ht="33.950000000000003" customHeight="1" x14ac:dyDescent="0.3"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</row>
    <row r="192" spans="2:32" s="5" customFormat="1" ht="33.950000000000003" customHeight="1" x14ac:dyDescent="0.3"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</row>
    <row r="193" spans="1:32" s="5" customFormat="1" ht="33.950000000000003" customHeight="1" x14ac:dyDescent="0.3">
      <c r="G193" s="35">
        <v>41462</v>
      </c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</row>
    <row r="194" spans="1:32" s="5" customFormat="1" ht="33.950000000000003" customHeight="1" x14ac:dyDescent="0.3"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</row>
    <row r="195" spans="1:32" s="5" customFormat="1" ht="33.950000000000003" customHeight="1" x14ac:dyDescent="0.3"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</row>
    <row r="196" spans="1:32" s="5" customFormat="1" ht="33.950000000000003" customHeight="1" x14ac:dyDescent="0.3"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</row>
    <row r="197" spans="1:32" s="5" customFormat="1" ht="33.950000000000003" customHeight="1" x14ac:dyDescent="0.3"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</row>
    <row r="198" spans="1:32" s="5" customFormat="1" ht="33.950000000000003" customHeight="1" x14ac:dyDescent="0.3">
      <c r="A198" s="33"/>
      <c r="B198" s="33">
        <v>0</v>
      </c>
      <c r="C198" s="33"/>
      <c r="D198" s="33">
        <v>0</v>
      </c>
      <c r="E198" s="33">
        <v>100000</v>
      </c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</row>
    <row r="199" spans="1:32" s="5" customFormat="1" ht="33.950000000000003" customHeight="1" x14ac:dyDescent="0.3"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</row>
    <row r="200" spans="1:32" s="5" customFormat="1" ht="33.950000000000003" customHeight="1" x14ac:dyDescent="0.3"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</row>
    <row r="201" spans="1:32" s="5" customFormat="1" ht="33.950000000000003" customHeight="1" x14ac:dyDescent="0.3">
      <c r="B201" s="37" t="e">
        <f>#REF!+#REF!+#REF!+#REF!+#REF!+#REF!+#REF!+#REF!+#REF!+B10+B13+B20+B22+B25+B29+B36+B38+B41+B45+B52+B54+B57+B61+B69+B73+B77+B80+B91+B96+B101+B105+B117+B122+B127+B132+B145+B151+B156+B161+B173+B180+B185+B190+B199</f>
        <v>#REF!</v>
      </c>
      <c r="C201" s="37"/>
      <c r="D201" s="37" t="e">
        <f>#REF!+#REF!+#REF!+#REF!+#REF!+#REF!+#REF!+#REF!+#REF!+D10+D13+D20+D22+D25+D29+D36+D38+D41+D45+D52+D54+D57+D61+D69+D73+D77+D80+D91+D96+D101+D105+D117+D122+D127+D132+D145+D151+D156+D161+D173+D180+D185+D190+D199</f>
        <v>#REF!</v>
      </c>
      <c r="E201" s="37" t="e">
        <f>#REF!+#REF!+#REF!+#REF!+#REF!+#REF!+#REF!+#REF!+#REF!+E10+E13+E20+E22+E25+E29+E36+E38+E41+E45+E52+E54+E57+E61+E69+E73+E77+E80+E91+E96+E101+E105+E117+E122+E127+E132+E145+E151+E156+E161+E173+E180+E185+E190+E199</f>
        <v>#REF!</v>
      </c>
      <c r="F201" s="37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</row>
  </sheetData>
  <mergeCells count="6">
    <mergeCell ref="E3:F3"/>
    <mergeCell ref="C2:G2"/>
    <mergeCell ref="J3:K3"/>
    <mergeCell ref="H2:L2"/>
    <mergeCell ref="A3:A4"/>
    <mergeCell ref="B3:B4"/>
  </mergeCells>
  <pageMargins left="0.7" right="0.7" top="0.75" bottom="0.75" header="0.3" footer="0.3"/>
  <pageSetup paperSize="9" scale="34" orientation="landscape" r:id="rId1"/>
  <headerFooter>
    <oddHeader>&amp;L&amp;"Arial,Bold"&amp;14NDAH'S FARM&amp;C&amp;"Arial,Bold"&amp;14NEW VISION POULTRY FARM
BOLIFAMBA, MILE 16, BUEA&amp;RAS AT: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0"/>
  <sheetViews>
    <sheetView zoomScale="50" zoomScaleNormal="50" zoomScaleSheetLayoutView="50" workbookViewId="0">
      <pane xSplit="2" ySplit="3" topLeftCell="G4" activePane="bottomRight" state="frozen"/>
      <selection pane="topRight" activeCell="C1" sqref="C1"/>
      <selection pane="bottomLeft" activeCell="A3" sqref="A3"/>
      <selection pane="bottomRight" activeCell="AD9" sqref="AD9"/>
    </sheetView>
  </sheetViews>
  <sheetFormatPr defaultColWidth="9.140625" defaultRowHeight="20.25" x14ac:dyDescent="0.3"/>
  <cols>
    <col min="1" max="1" width="10.85546875" style="5" customWidth="1"/>
    <col min="2" max="2" width="13.28515625" style="5" customWidth="1"/>
    <col min="3" max="3" width="14.140625" style="5" customWidth="1"/>
    <col min="4" max="4" width="12.7109375" style="5" customWidth="1"/>
    <col min="5" max="5" width="16.85546875" style="5" customWidth="1"/>
    <col min="6" max="6" width="14.85546875" style="5" customWidth="1"/>
    <col min="7" max="7" width="15.42578125" style="5" customWidth="1"/>
    <col min="8" max="8" width="14.7109375" style="5" customWidth="1"/>
    <col min="9" max="9" width="19" style="5" customWidth="1"/>
    <col min="10" max="10" width="13.42578125" style="5" customWidth="1"/>
    <col min="11" max="11" width="17.140625" style="32" customWidth="1"/>
    <col min="12" max="13" width="15" style="32" customWidth="1"/>
    <col min="14" max="14" width="12.7109375" style="32" customWidth="1"/>
    <col min="15" max="15" width="17" style="20" customWidth="1"/>
    <col min="16" max="16" width="17" style="93" customWidth="1"/>
    <col min="17" max="17" width="14.140625" style="20" customWidth="1"/>
    <col min="18" max="18" width="15.28515625" style="20" customWidth="1"/>
    <col min="19" max="19" width="12.85546875" style="5" customWidth="1"/>
    <col min="20" max="20" width="17" style="5" customWidth="1"/>
    <col min="21" max="22" width="14" style="5" customWidth="1"/>
    <col min="23" max="23" width="18.42578125" style="5" customWidth="1"/>
    <col min="24" max="24" width="18" style="30" customWidth="1"/>
    <col min="25" max="26" width="18" style="32" customWidth="1"/>
    <col min="27" max="27" width="16.42578125" style="5" customWidth="1"/>
    <col min="28" max="34" width="9.140625" style="5"/>
    <col min="35" max="16384" width="9.140625" style="31"/>
  </cols>
  <sheetData>
    <row r="1" spans="1:34" ht="30" customHeight="1" thickBot="1" x14ac:dyDescent="0.35">
      <c r="A1" s="51"/>
      <c r="B1" s="64"/>
      <c r="C1" s="64"/>
      <c r="D1" s="64"/>
      <c r="E1" s="64"/>
      <c r="F1" s="64"/>
      <c r="G1" s="64"/>
      <c r="H1" s="64"/>
      <c r="I1" s="64"/>
      <c r="J1" s="113" t="s">
        <v>26</v>
      </c>
      <c r="K1" s="114"/>
      <c r="L1" s="114"/>
      <c r="M1" s="114"/>
      <c r="N1" s="114"/>
      <c r="O1" s="114"/>
      <c r="P1" s="115"/>
      <c r="Q1" s="113" t="s">
        <v>33</v>
      </c>
      <c r="R1" s="114"/>
      <c r="S1" s="114"/>
      <c r="T1" s="114"/>
      <c r="U1" s="114"/>
      <c r="V1" s="114"/>
      <c r="W1" s="114"/>
      <c r="X1" s="41" t="s">
        <v>46</v>
      </c>
      <c r="Y1" s="65" t="s">
        <v>49</v>
      </c>
      <c r="Z1" s="55" t="s">
        <v>48</v>
      </c>
      <c r="AA1" s="66"/>
    </row>
    <row r="2" spans="1:34" s="6" customFormat="1" ht="33.950000000000003" customHeight="1" thickBot="1" x14ac:dyDescent="0.35">
      <c r="A2" s="119" t="s">
        <v>0</v>
      </c>
      <c r="B2" s="121" t="s">
        <v>1</v>
      </c>
      <c r="C2" s="38" t="s">
        <v>2</v>
      </c>
      <c r="D2" s="1" t="s">
        <v>2</v>
      </c>
      <c r="E2" s="1" t="s">
        <v>3</v>
      </c>
      <c r="F2" s="125" t="s">
        <v>4</v>
      </c>
      <c r="G2" s="126"/>
      <c r="H2" s="2" t="s">
        <v>5</v>
      </c>
      <c r="I2" s="3" t="s">
        <v>6</v>
      </c>
      <c r="J2" s="123" t="s">
        <v>7</v>
      </c>
      <c r="K2" s="124"/>
      <c r="L2" s="113" t="s">
        <v>34</v>
      </c>
      <c r="M2" s="115"/>
      <c r="N2" s="39" t="s">
        <v>32</v>
      </c>
      <c r="O2" s="20" t="s">
        <v>31</v>
      </c>
      <c r="P2" s="91" t="s">
        <v>17</v>
      </c>
      <c r="Q2" s="118" t="s">
        <v>2</v>
      </c>
      <c r="R2" s="118"/>
      <c r="S2" s="116" t="s">
        <v>34</v>
      </c>
      <c r="T2" s="117"/>
      <c r="U2" s="125" t="s">
        <v>35</v>
      </c>
      <c r="V2" s="127"/>
      <c r="W2" s="81" t="s">
        <v>36</v>
      </c>
      <c r="X2" s="42" t="s">
        <v>8</v>
      </c>
      <c r="Y2" s="28" t="s">
        <v>51</v>
      </c>
      <c r="Z2" s="56"/>
      <c r="AA2" s="67" t="s">
        <v>9</v>
      </c>
      <c r="AB2" s="5"/>
      <c r="AC2" s="5"/>
      <c r="AD2" s="5"/>
      <c r="AE2" s="5"/>
      <c r="AF2" s="5"/>
      <c r="AG2" s="5"/>
      <c r="AH2" s="5"/>
    </row>
    <row r="3" spans="1:34" s="6" customFormat="1" ht="33.950000000000003" customHeight="1" thickBot="1" x14ac:dyDescent="0.35">
      <c r="A3" s="120"/>
      <c r="B3" s="122"/>
      <c r="C3" s="68" t="s">
        <v>24</v>
      </c>
      <c r="D3" s="68" t="s">
        <v>25</v>
      </c>
      <c r="E3" s="69" t="s">
        <v>2</v>
      </c>
      <c r="F3" s="70" t="s">
        <v>10</v>
      </c>
      <c r="G3" s="70" t="s">
        <v>11</v>
      </c>
      <c r="H3" s="69" t="s">
        <v>12</v>
      </c>
      <c r="I3" s="71" t="s">
        <v>13</v>
      </c>
      <c r="J3" s="72" t="s">
        <v>27</v>
      </c>
      <c r="K3" s="73" t="s">
        <v>14</v>
      </c>
      <c r="L3" s="74" t="s">
        <v>15</v>
      </c>
      <c r="M3" s="75" t="s">
        <v>14</v>
      </c>
      <c r="N3" s="82"/>
      <c r="O3" s="4"/>
      <c r="P3" s="96" t="s">
        <v>30</v>
      </c>
      <c r="Q3" s="4" t="s">
        <v>28</v>
      </c>
      <c r="R3" s="4" t="s">
        <v>16</v>
      </c>
      <c r="S3" s="86" t="s">
        <v>15</v>
      </c>
      <c r="T3" s="76" t="s">
        <v>16</v>
      </c>
      <c r="U3" s="70" t="s">
        <v>29</v>
      </c>
      <c r="V3" s="70"/>
      <c r="W3" s="80" t="s">
        <v>37</v>
      </c>
      <c r="X3" s="43"/>
      <c r="Y3" s="77" t="s">
        <v>50</v>
      </c>
      <c r="Z3" s="57"/>
      <c r="AA3" s="71" t="s">
        <v>18</v>
      </c>
      <c r="AB3" s="5"/>
      <c r="AC3" s="5"/>
      <c r="AD3" s="5"/>
      <c r="AE3" s="5"/>
      <c r="AF3" s="5"/>
      <c r="AG3" s="5"/>
      <c r="AH3" s="5"/>
    </row>
    <row r="4" spans="1:34" s="6" customFormat="1" ht="33.950000000000003" customHeight="1" x14ac:dyDescent="0.3">
      <c r="A4" s="47"/>
      <c r="B4" s="48">
        <v>46025</v>
      </c>
      <c r="C4" s="60"/>
      <c r="D4" s="60"/>
      <c r="E4" s="61"/>
      <c r="F4" s="40"/>
      <c r="G4" s="40"/>
      <c r="H4" s="61"/>
      <c r="I4" s="40"/>
      <c r="J4" s="62"/>
      <c r="K4" s="62"/>
      <c r="L4" s="62"/>
      <c r="M4" s="62"/>
      <c r="N4" s="83"/>
      <c r="O4" s="4"/>
      <c r="P4" s="79">
        <f>I4+K4+M4+N4+O4</f>
        <v>0</v>
      </c>
      <c r="Q4" s="4"/>
      <c r="R4" s="4"/>
      <c r="S4" s="87"/>
      <c r="T4" s="63"/>
      <c r="U4" s="40"/>
      <c r="V4" s="40"/>
      <c r="W4" s="63">
        <f>R4+T4+U4+V4</f>
        <v>0</v>
      </c>
      <c r="X4" s="78">
        <f>W4-P4</f>
        <v>0</v>
      </c>
      <c r="Y4" s="58"/>
      <c r="Z4" s="58"/>
      <c r="AA4" s="40"/>
      <c r="AB4" s="5"/>
      <c r="AC4" s="5"/>
      <c r="AD4" s="5"/>
      <c r="AE4" s="5"/>
      <c r="AF4" s="5"/>
      <c r="AG4" s="5"/>
      <c r="AH4" s="5"/>
    </row>
    <row r="5" spans="1:34" s="6" customFormat="1" ht="33.950000000000003" customHeight="1" x14ac:dyDescent="0.3">
      <c r="A5" s="47"/>
      <c r="B5" s="48">
        <v>46027</v>
      </c>
      <c r="C5" s="52"/>
      <c r="D5" s="52"/>
      <c r="E5" s="7"/>
      <c r="F5" s="4"/>
      <c r="G5" s="4"/>
      <c r="H5" s="7"/>
      <c r="I5" s="4"/>
      <c r="J5" s="45"/>
      <c r="K5" s="45"/>
      <c r="L5" s="45"/>
      <c r="M5" s="45"/>
      <c r="N5" s="84"/>
      <c r="O5" s="4"/>
      <c r="P5" s="79">
        <f>I5+K5+M5+N5+O5+P4</f>
        <v>0</v>
      </c>
      <c r="Q5" s="4"/>
      <c r="R5" s="4"/>
      <c r="S5" s="88"/>
      <c r="T5" s="4"/>
      <c r="U5" s="4"/>
      <c r="V5" s="4"/>
      <c r="W5" s="14">
        <f>R5+T5+U5+V5+W4</f>
        <v>0</v>
      </c>
      <c r="X5" s="54">
        <f t="shared" ref="X5:X82" si="0">W5-P5</f>
        <v>0</v>
      </c>
      <c r="Y5" s="53"/>
      <c r="Z5" s="53"/>
      <c r="AA5" s="4">
        <f t="shared" ref="AA5:AA68" si="1">AA4+F5+L5-S5-Y4-Z4</f>
        <v>0</v>
      </c>
      <c r="AB5" s="5"/>
      <c r="AC5" s="5"/>
      <c r="AD5" s="5"/>
      <c r="AE5" s="5"/>
      <c r="AF5" s="5"/>
      <c r="AG5" s="5"/>
      <c r="AH5" s="5"/>
    </row>
    <row r="6" spans="1:34" s="5" customFormat="1" ht="33.950000000000003" customHeight="1" x14ac:dyDescent="0.3">
      <c r="A6" s="8"/>
      <c r="B6" s="50">
        <v>46028</v>
      </c>
      <c r="C6" s="15"/>
      <c r="D6" s="10"/>
      <c r="E6" s="11"/>
      <c r="F6" s="11"/>
      <c r="G6" s="11"/>
      <c r="H6" s="12"/>
      <c r="I6" s="11"/>
      <c r="J6" s="11"/>
      <c r="K6" s="13"/>
      <c r="L6" s="13"/>
      <c r="M6" s="13"/>
      <c r="N6" s="85"/>
      <c r="O6" s="11"/>
      <c r="P6" s="79">
        <f>I6+K6+M6+N6+O6+P5</f>
        <v>0</v>
      </c>
      <c r="Q6" s="11"/>
      <c r="R6" s="11"/>
      <c r="S6" s="89"/>
      <c r="T6" s="11"/>
      <c r="U6" s="11"/>
      <c r="V6" s="11"/>
      <c r="W6" s="14">
        <f t="shared" ref="W6:W69" si="2">R6+T6+U6+V6+W5</f>
        <v>0</v>
      </c>
      <c r="X6" s="54">
        <f t="shared" si="0"/>
        <v>0</v>
      </c>
      <c r="Y6" s="59"/>
      <c r="Z6" s="59"/>
      <c r="AA6" s="4">
        <f t="shared" si="1"/>
        <v>0</v>
      </c>
    </row>
    <row r="7" spans="1:34" s="5" customFormat="1" ht="33.950000000000003" customHeight="1" x14ac:dyDescent="0.3">
      <c r="A7" s="8"/>
      <c r="B7" s="50">
        <v>46032</v>
      </c>
      <c r="C7" s="15"/>
      <c r="D7" s="10"/>
      <c r="E7" s="11"/>
      <c r="F7" s="11"/>
      <c r="G7" s="11"/>
      <c r="H7" s="12"/>
      <c r="I7" s="11"/>
      <c r="J7" s="11"/>
      <c r="K7" s="13"/>
      <c r="L7" s="13"/>
      <c r="M7" s="13"/>
      <c r="N7" s="85"/>
      <c r="O7" s="11"/>
      <c r="P7" s="79">
        <f t="shared" ref="P7:P70" si="3">I7+K7+M7+N7+O7+P6</f>
        <v>0</v>
      </c>
      <c r="Q7" s="11"/>
      <c r="R7" s="11"/>
      <c r="S7" s="89"/>
      <c r="T7" s="11"/>
      <c r="U7" s="11"/>
      <c r="V7" s="11"/>
      <c r="W7" s="14">
        <f t="shared" si="2"/>
        <v>0</v>
      </c>
      <c r="X7" s="54">
        <f t="shared" si="0"/>
        <v>0</v>
      </c>
      <c r="Y7" s="59"/>
      <c r="Z7" s="59"/>
      <c r="AA7" s="4">
        <f t="shared" si="1"/>
        <v>0</v>
      </c>
    </row>
    <row r="8" spans="1:34" s="5" customFormat="1" ht="33.950000000000003" customHeight="1" x14ac:dyDescent="0.3">
      <c r="A8" s="8"/>
      <c r="B8" s="50">
        <v>46037</v>
      </c>
      <c r="C8" s="15"/>
      <c r="D8" s="10"/>
      <c r="E8" s="11"/>
      <c r="F8" s="11"/>
      <c r="G8" s="11"/>
      <c r="H8" s="12"/>
      <c r="I8" s="11"/>
      <c r="J8" s="11"/>
      <c r="K8" s="13"/>
      <c r="L8" s="13"/>
      <c r="M8" s="13"/>
      <c r="N8" s="85"/>
      <c r="O8" s="11"/>
      <c r="P8" s="79">
        <f t="shared" si="3"/>
        <v>0</v>
      </c>
      <c r="Q8" s="11"/>
      <c r="R8" s="11"/>
      <c r="S8" s="89"/>
      <c r="T8" s="11"/>
      <c r="U8" s="11"/>
      <c r="V8" s="11"/>
      <c r="W8" s="14">
        <f t="shared" si="2"/>
        <v>0</v>
      </c>
      <c r="X8" s="54">
        <f t="shared" si="0"/>
        <v>0</v>
      </c>
      <c r="Y8" s="59"/>
      <c r="Z8" s="59"/>
      <c r="AA8" s="4">
        <f t="shared" si="1"/>
        <v>0</v>
      </c>
    </row>
    <row r="9" spans="1:34" s="5" customFormat="1" ht="33.950000000000003" customHeight="1" x14ac:dyDescent="0.3">
      <c r="A9" s="8"/>
      <c r="B9" s="50">
        <v>46038</v>
      </c>
      <c r="C9" s="15"/>
      <c r="D9" s="10"/>
      <c r="E9" s="11"/>
      <c r="F9" s="11"/>
      <c r="G9" s="11"/>
      <c r="H9" s="12"/>
      <c r="I9" s="11"/>
      <c r="J9" s="11"/>
      <c r="K9" s="13"/>
      <c r="L9" s="13"/>
      <c r="M9" s="13"/>
      <c r="N9" s="85"/>
      <c r="O9" s="11"/>
      <c r="P9" s="79">
        <f t="shared" si="3"/>
        <v>0</v>
      </c>
      <c r="Q9" s="11"/>
      <c r="R9" s="11"/>
      <c r="S9" s="89"/>
      <c r="T9" s="11"/>
      <c r="U9" s="11"/>
      <c r="V9" s="11"/>
      <c r="W9" s="14">
        <f t="shared" si="2"/>
        <v>0</v>
      </c>
      <c r="X9" s="54">
        <f t="shared" si="0"/>
        <v>0</v>
      </c>
      <c r="Y9" s="59"/>
      <c r="Z9" s="59"/>
      <c r="AA9" s="4">
        <f t="shared" si="1"/>
        <v>0</v>
      </c>
    </row>
    <row r="10" spans="1:34" s="5" customFormat="1" ht="33.950000000000003" customHeight="1" x14ac:dyDescent="0.3">
      <c r="A10" s="8"/>
      <c r="B10" s="50">
        <v>46043</v>
      </c>
      <c r="C10" s="15"/>
      <c r="D10" s="10"/>
      <c r="E10" s="11"/>
      <c r="F10" s="11"/>
      <c r="G10" s="11"/>
      <c r="H10" s="12"/>
      <c r="I10" s="11"/>
      <c r="J10" s="11"/>
      <c r="K10" s="13"/>
      <c r="L10" s="13"/>
      <c r="M10" s="13"/>
      <c r="N10" s="85"/>
      <c r="O10" s="11"/>
      <c r="P10" s="79">
        <f t="shared" si="3"/>
        <v>0</v>
      </c>
      <c r="Q10" s="11"/>
      <c r="R10" s="11"/>
      <c r="S10" s="89"/>
      <c r="T10" s="11"/>
      <c r="U10" s="11"/>
      <c r="V10" s="11"/>
      <c r="W10" s="14">
        <f t="shared" si="2"/>
        <v>0</v>
      </c>
      <c r="X10" s="54">
        <f t="shared" si="0"/>
        <v>0</v>
      </c>
      <c r="Y10" s="59"/>
      <c r="Z10" s="59"/>
      <c r="AA10" s="4">
        <f t="shared" si="1"/>
        <v>0</v>
      </c>
    </row>
    <row r="11" spans="1:34" s="5" customFormat="1" ht="33.950000000000003" customHeight="1" x14ac:dyDescent="0.3">
      <c r="A11" s="8"/>
      <c r="B11" s="50">
        <v>46048</v>
      </c>
      <c r="C11" s="15"/>
      <c r="D11" s="10"/>
      <c r="E11" s="11"/>
      <c r="F11" s="11"/>
      <c r="G11" s="11"/>
      <c r="H11" s="12"/>
      <c r="I11" s="11"/>
      <c r="J11" s="11"/>
      <c r="K11" s="13"/>
      <c r="L11" s="13"/>
      <c r="M11" s="13"/>
      <c r="N11" s="85"/>
      <c r="O11" s="11"/>
      <c r="P11" s="79">
        <f t="shared" si="3"/>
        <v>0</v>
      </c>
      <c r="Q11" s="11"/>
      <c r="R11" s="11"/>
      <c r="S11" s="89"/>
      <c r="T11" s="11"/>
      <c r="U11" s="11"/>
      <c r="V11" s="11"/>
      <c r="W11" s="14">
        <f t="shared" si="2"/>
        <v>0</v>
      </c>
      <c r="X11" s="54">
        <f t="shared" si="0"/>
        <v>0</v>
      </c>
      <c r="Y11" s="59"/>
      <c r="Z11" s="59"/>
      <c r="AA11" s="4">
        <f t="shared" si="1"/>
        <v>0</v>
      </c>
    </row>
    <row r="12" spans="1:34" s="5" customFormat="1" ht="33.950000000000003" customHeight="1" x14ac:dyDescent="0.3">
      <c r="A12" s="8"/>
      <c r="B12" s="50">
        <v>46049</v>
      </c>
      <c r="C12" s="15"/>
      <c r="D12" s="10"/>
      <c r="E12" s="11"/>
      <c r="F12" s="11"/>
      <c r="G12" s="11"/>
      <c r="H12" s="12"/>
      <c r="I12" s="11"/>
      <c r="J12" s="11"/>
      <c r="K12" s="13"/>
      <c r="L12" s="13"/>
      <c r="M12" s="13"/>
      <c r="N12" s="85"/>
      <c r="O12" s="11"/>
      <c r="P12" s="79">
        <f t="shared" si="3"/>
        <v>0</v>
      </c>
      <c r="Q12" s="11"/>
      <c r="R12" s="11"/>
      <c r="S12" s="89"/>
      <c r="T12" s="11"/>
      <c r="U12" s="11"/>
      <c r="V12" s="11"/>
      <c r="W12" s="14">
        <f t="shared" si="2"/>
        <v>0</v>
      </c>
      <c r="X12" s="54">
        <f t="shared" si="0"/>
        <v>0</v>
      </c>
      <c r="Y12" s="59"/>
      <c r="Z12" s="59"/>
      <c r="AA12" s="4">
        <f t="shared" si="1"/>
        <v>0</v>
      </c>
    </row>
    <row r="13" spans="1:34" s="5" customFormat="1" ht="33.950000000000003" customHeight="1" x14ac:dyDescent="0.3">
      <c r="A13" s="8"/>
      <c r="B13" s="50">
        <v>46052</v>
      </c>
      <c r="C13" s="15"/>
      <c r="D13" s="10"/>
      <c r="E13" s="11"/>
      <c r="F13" s="11"/>
      <c r="G13" s="11"/>
      <c r="H13" s="12"/>
      <c r="I13" s="11"/>
      <c r="J13" s="11"/>
      <c r="K13" s="13"/>
      <c r="L13" s="13"/>
      <c r="M13" s="13"/>
      <c r="N13" s="85"/>
      <c r="O13" s="11"/>
      <c r="P13" s="79">
        <f t="shared" si="3"/>
        <v>0</v>
      </c>
      <c r="Q13" s="11"/>
      <c r="R13" s="11"/>
      <c r="S13" s="89"/>
      <c r="T13" s="11"/>
      <c r="U13" s="11"/>
      <c r="V13" s="11"/>
      <c r="W13" s="14">
        <f t="shared" si="2"/>
        <v>0</v>
      </c>
      <c r="X13" s="54">
        <f t="shared" si="0"/>
        <v>0</v>
      </c>
      <c r="Y13" s="59"/>
      <c r="Z13" s="59"/>
      <c r="AA13" s="4">
        <f t="shared" si="1"/>
        <v>0</v>
      </c>
    </row>
    <row r="14" spans="1:34" s="5" customFormat="1" ht="33.950000000000003" customHeight="1" x14ac:dyDescent="0.3">
      <c r="A14" s="8"/>
      <c r="B14" s="50">
        <v>46053</v>
      </c>
      <c r="C14" s="15"/>
      <c r="D14" s="10"/>
      <c r="E14" s="11"/>
      <c r="F14" s="11"/>
      <c r="G14" s="11"/>
      <c r="H14" s="12"/>
      <c r="I14" s="11"/>
      <c r="J14" s="11"/>
      <c r="K14" s="13"/>
      <c r="L14" s="13"/>
      <c r="M14" s="13"/>
      <c r="N14" s="85"/>
      <c r="O14" s="11"/>
      <c r="P14" s="79">
        <f t="shared" si="3"/>
        <v>0</v>
      </c>
      <c r="Q14" s="11"/>
      <c r="R14" s="11"/>
      <c r="S14" s="89"/>
      <c r="T14" s="11"/>
      <c r="U14" s="11"/>
      <c r="V14" s="11"/>
      <c r="W14" s="14">
        <f t="shared" si="2"/>
        <v>0</v>
      </c>
      <c r="X14" s="54">
        <f t="shared" si="0"/>
        <v>0</v>
      </c>
      <c r="Y14" s="59"/>
      <c r="Z14" s="59"/>
      <c r="AA14" s="4">
        <f t="shared" si="1"/>
        <v>0</v>
      </c>
    </row>
    <row r="15" spans="1:34" s="5" customFormat="1" ht="33.950000000000003" customHeight="1" x14ac:dyDescent="0.3">
      <c r="A15" s="8"/>
      <c r="B15" s="50">
        <v>46054</v>
      </c>
      <c r="C15" s="15"/>
      <c r="D15" s="10"/>
      <c r="E15" s="11"/>
      <c r="F15" s="11"/>
      <c r="G15" s="11"/>
      <c r="H15" s="12"/>
      <c r="I15" s="11"/>
      <c r="J15" s="11"/>
      <c r="K15" s="13"/>
      <c r="L15" s="13"/>
      <c r="M15" s="13"/>
      <c r="N15" s="85"/>
      <c r="O15" s="11"/>
      <c r="P15" s="79">
        <f t="shared" si="3"/>
        <v>0</v>
      </c>
      <c r="Q15" s="11"/>
      <c r="R15" s="11"/>
      <c r="S15" s="89"/>
      <c r="T15" s="11"/>
      <c r="U15" s="11"/>
      <c r="V15" s="11"/>
      <c r="W15" s="14">
        <f t="shared" si="2"/>
        <v>0</v>
      </c>
      <c r="X15" s="54">
        <f t="shared" si="0"/>
        <v>0</v>
      </c>
      <c r="Y15" s="59"/>
      <c r="Z15" s="59"/>
      <c r="AA15" s="4">
        <f t="shared" si="1"/>
        <v>0</v>
      </c>
    </row>
    <row r="16" spans="1:34" s="5" customFormat="1" ht="33.950000000000003" customHeight="1" x14ac:dyDescent="0.3">
      <c r="A16" s="8"/>
      <c r="B16" s="50">
        <v>46059</v>
      </c>
      <c r="C16" s="15"/>
      <c r="D16" s="10"/>
      <c r="E16" s="11"/>
      <c r="F16" s="11"/>
      <c r="G16" s="11"/>
      <c r="H16" s="12"/>
      <c r="I16" s="11"/>
      <c r="J16" s="11"/>
      <c r="K16" s="13"/>
      <c r="L16" s="13"/>
      <c r="M16" s="13"/>
      <c r="N16" s="85"/>
      <c r="O16" s="11"/>
      <c r="P16" s="79">
        <f t="shared" si="3"/>
        <v>0</v>
      </c>
      <c r="Q16" s="11"/>
      <c r="R16" s="11"/>
      <c r="S16" s="89"/>
      <c r="T16" s="11"/>
      <c r="U16" s="11"/>
      <c r="V16" s="11"/>
      <c r="W16" s="14">
        <f t="shared" si="2"/>
        <v>0</v>
      </c>
      <c r="X16" s="54">
        <f t="shared" si="0"/>
        <v>0</v>
      </c>
      <c r="Y16" s="59"/>
      <c r="Z16" s="59"/>
      <c r="AA16" s="4">
        <f t="shared" si="1"/>
        <v>0</v>
      </c>
    </row>
    <row r="17" spans="1:27" s="5" customFormat="1" ht="33.950000000000003" customHeight="1" x14ac:dyDescent="0.3">
      <c r="A17" s="8"/>
      <c r="B17" s="50">
        <v>46060</v>
      </c>
      <c r="C17" s="15"/>
      <c r="D17" s="15"/>
      <c r="E17" s="11"/>
      <c r="F17" s="11"/>
      <c r="G17" s="11"/>
      <c r="H17" s="12"/>
      <c r="I17" s="11"/>
      <c r="J17" s="11"/>
      <c r="K17" s="13"/>
      <c r="L17" s="13"/>
      <c r="M17" s="13"/>
      <c r="N17" s="85"/>
      <c r="O17" s="11"/>
      <c r="P17" s="79">
        <f t="shared" si="3"/>
        <v>0</v>
      </c>
      <c r="Q17" s="11"/>
      <c r="R17" s="11"/>
      <c r="S17" s="89"/>
      <c r="T17" s="11"/>
      <c r="U17" s="11"/>
      <c r="V17" s="11"/>
      <c r="W17" s="14">
        <f t="shared" si="2"/>
        <v>0</v>
      </c>
      <c r="X17" s="54">
        <f t="shared" si="0"/>
        <v>0</v>
      </c>
      <c r="Y17" s="59"/>
      <c r="Z17" s="59"/>
      <c r="AA17" s="4">
        <f t="shared" si="1"/>
        <v>0</v>
      </c>
    </row>
    <row r="18" spans="1:27" s="5" customFormat="1" ht="33.950000000000003" customHeight="1" x14ac:dyDescent="0.3">
      <c r="A18" s="8"/>
      <c r="B18" s="50">
        <v>46065</v>
      </c>
      <c r="C18" s="15"/>
      <c r="D18" s="15"/>
      <c r="E18" s="11"/>
      <c r="F18" s="11"/>
      <c r="G18" s="11"/>
      <c r="H18" s="12"/>
      <c r="I18" s="11"/>
      <c r="J18" s="11"/>
      <c r="K18" s="13"/>
      <c r="L18" s="13"/>
      <c r="M18" s="13"/>
      <c r="N18" s="85"/>
      <c r="O18" s="11"/>
      <c r="P18" s="79">
        <f t="shared" si="3"/>
        <v>0</v>
      </c>
      <c r="Q18" s="11"/>
      <c r="R18" s="11"/>
      <c r="S18" s="89"/>
      <c r="T18" s="11"/>
      <c r="U18" s="11"/>
      <c r="V18" s="11"/>
      <c r="W18" s="14">
        <f t="shared" si="2"/>
        <v>0</v>
      </c>
      <c r="X18" s="54">
        <f t="shared" si="0"/>
        <v>0</v>
      </c>
      <c r="Y18" s="59"/>
      <c r="Z18" s="59"/>
      <c r="AA18" s="4">
        <f t="shared" si="1"/>
        <v>0</v>
      </c>
    </row>
    <row r="19" spans="1:27" s="5" customFormat="1" ht="33.950000000000003" customHeight="1" x14ac:dyDescent="0.3">
      <c r="A19" s="8"/>
      <c r="B19" s="50">
        <v>46067</v>
      </c>
      <c r="C19" s="15"/>
      <c r="D19" s="15"/>
      <c r="E19" s="11"/>
      <c r="F19" s="11"/>
      <c r="G19" s="11"/>
      <c r="H19" s="12"/>
      <c r="I19" s="11"/>
      <c r="J19" s="11"/>
      <c r="K19" s="13"/>
      <c r="L19" s="13"/>
      <c r="M19" s="13"/>
      <c r="N19" s="85"/>
      <c r="O19" s="11"/>
      <c r="P19" s="79">
        <f t="shared" si="3"/>
        <v>0</v>
      </c>
      <c r="Q19" s="11"/>
      <c r="R19" s="11"/>
      <c r="S19" s="89"/>
      <c r="T19" s="11"/>
      <c r="U19" s="11"/>
      <c r="V19" s="11"/>
      <c r="W19" s="14">
        <f t="shared" si="2"/>
        <v>0</v>
      </c>
      <c r="X19" s="54">
        <f t="shared" si="0"/>
        <v>0</v>
      </c>
      <c r="Y19" s="59"/>
      <c r="Z19" s="59"/>
      <c r="AA19" s="4">
        <f t="shared" si="1"/>
        <v>0</v>
      </c>
    </row>
    <row r="20" spans="1:27" s="5" customFormat="1" ht="33.950000000000003" customHeight="1" x14ac:dyDescent="0.3">
      <c r="A20" s="8"/>
      <c r="B20" s="50">
        <v>46073</v>
      </c>
      <c r="C20" s="15"/>
      <c r="D20" s="15"/>
      <c r="E20" s="11"/>
      <c r="F20" s="11"/>
      <c r="G20" s="11"/>
      <c r="H20" s="12"/>
      <c r="I20" s="11"/>
      <c r="J20" s="11"/>
      <c r="K20" s="13"/>
      <c r="L20" s="13"/>
      <c r="M20" s="13"/>
      <c r="N20" s="85"/>
      <c r="O20" s="11"/>
      <c r="P20" s="79">
        <f t="shared" si="3"/>
        <v>0</v>
      </c>
      <c r="Q20" s="11"/>
      <c r="R20" s="11"/>
      <c r="S20" s="89"/>
      <c r="T20" s="11"/>
      <c r="U20" s="11"/>
      <c r="V20" s="11"/>
      <c r="W20" s="14">
        <f t="shared" si="2"/>
        <v>0</v>
      </c>
      <c r="X20" s="54">
        <f t="shared" si="0"/>
        <v>0</v>
      </c>
      <c r="Y20" s="59"/>
      <c r="Z20" s="59"/>
      <c r="AA20" s="4">
        <f t="shared" si="1"/>
        <v>0</v>
      </c>
    </row>
    <row r="21" spans="1:27" s="5" customFormat="1" ht="33.950000000000003" customHeight="1" x14ac:dyDescent="0.3">
      <c r="A21" s="8"/>
      <c r="B21" s="50">
        <v>46075</v>
      </c>
      <c r="C21" s="15"/>
      <c r="D21" s="15"/>
      <c r="E21" s="11"/>
      <c r="F21" s="11"/>
      <c r="G21" s="11"/>
      <c r="H21" s="12"/>
      <c r="I21" s="11"/>
      <c r="J21" s="11"/>
      <c r="K21" s="13"/>
      <c r="L21" s="13"/>
      <c r="M21" s="13"/>
      <c r="N21" s="85"/>
      <c r="O21" s="11"/>
      <c r="P21" s="79">
        <f t="shared" si="3"/>
        <v>0</v>
      </c>
      <c r="Q21" s="11"/>
      <c r="R21" s="11"/>
      <c r="S21" s="89"/>
      <c r="T21" s="11"/>
      <c r="U21" s="11"/>
      <c r="V21" s="11"/>
      <c r="W21" s="14">
        <f t="shared" si="2"/>
        <v>0</v>
      </c>
      <c r="X21" s="54">
        <f t="shared" si="0"/>
        <v>0</v>
      </c>
      <c r="Y21" s="59"/>
      <c r="Z21" s="59"/>
      <c r="AA21" s="4">
        <f t="shared" si="1"/>
        <v>0</v>
      </c>
    </row>
    <row r="22" spans="1:27" s="5" customFormat="1" ht="33.950000000000003" customHeight="1" x14ac:dyDescent="0.3">
      <c r="A22" s="8"/>
      <c r="B22" s="50">
        <v>46079</v>
      </c>
      <c r="C22" s="15"/>
      <c r="D22" s="15"/>
      <c r="E22" s="11"/>
      <c r="F22" s="11"/>
      <c r="G22" s="11"/>
      <c r="H22" s="11"/>
      <c r="I22" s="11"/>
      <c r="J22" s="11"/>
      <c r="K22" s="13"/>
      <c r="L22" s="13"/>
      <c r="M22" s="13"/>
      <c r="N22" s="85"/>
      <c r="O22" s="11"/>
      <c r="P22" s="79">
        <f t="shared" si="3"/>
        <v>0</v>
      </c>
      <c r="Q22" s="11"/>
      <c r="R22" s="11"/>
      <c r="S22" s="89"/>
      <c r="T22" s="11"/>
      <c r="U22" s="11"/>
      <c r="V22" s="11"/>
      <c r="W22" s="14">
        <f t="shared" si="2"/>
        <v>0</v>
      </c>
      <c r="X22" s="54">
        <f t="shared" si="0"/>
        <v>0</v>
      </c>
      <c r="Y22" s="59"/>
      <c r="Z22" s="59"/>
      <c r="AA22" s="4">
        <f t="shared" si="1"/>
        <v>0</v>
      </c>
    </row>
    <row r="23" spans="1:27" s="5" customFormat="1" ht="33.950000000000003" customHeight="1" x14ac:dyDescent="0.3">
      <c r="A23" s="8"/>
      <c r="B23" s="50">
        <v>46082</v>
      </c>
      <c r="C23" s="15"/>
      <c r="D23" s="15"/>
      <c r="E23" s="11"/>
      <c r="F23" s="11"/>
      <c r="G23" s="11"/>
      <c r="H23" s="12"/>
      <c r="I23" s="11"/>
      <c r="J23" s="11"/>
      <c r="K23" s="13"/>
      <c r="L23" s="13"/>
      <c r="M23" s="13"/>
      <c r="N23" s="85"/>
      <c r="O23" s="11"/>
      <c r="P23" s="79">
        <f t="shared" si="3"/>
        <v>0</v>
      </c>
      <c r="Q23" s="11"/>
      <c r="R23" s="11"/>
      <c r="S23" s="89"/>
      <c r="T23" s="11"/>
      <c r="U23" s="11"/>
      <c r="V23" s="11"/>
      <c r="W23" s="14">
        <f t="shared" si="2"/>
        <v>0</v>
      </c>
      <c r="X23" s="54">
        <f t="shared" si="0"/>
        <v>0</v>
      </c>
      <c r="Y23" s="59"/>
      <c r="Z23" s="59"/>
      <c r="AA23" s="4">
        <f t="shared" si="1"/>
        <v>0</v>
      </c>
    </row>
    <row r="24" spans="1:27" s="5" customFormat="1" ht="33.950000000000003" customHeight="1" x14ac:dyDescent="0.3">
      <c r="A24" s="8"/>
      <c r="B24" s="50">
        <v>46084</v>
      </c>
      <c r="C24" s="15"/>
      <c r="D24" s="15"/>
      <c r="E24" s="11"/>
      <c r="F24" s="11"/>
      <c r="G24" s="11"/>
      <c r="H24" s="12"/>
      <c r="I24" s="11"/>
      <c r="J24" s="11"/>
      <c r="K24" s="13"/>
      <c r="L24" s="13"/>
      <c r="M24" s="13"/>
      <c r="N24" s="85"/>
      <c r="O24" s="11"/>
      <c r="P24" s="79">
        <f t="shared" si="3"/>
        <v>0</v>
      </c>
      <c r="Q24" s="11"/>
      <c r="R24" s="11"/>
      <c r="S24" s="89"/>
      <c r="T24" s="11"/>
      <c r="U24" s="11"/>
      <c r="V24" s="11"/>
      <c r="W24" s="14">
        <f t="shared" si="2"/>
        <v>0</v>
      </c>
      <c r="X24" s="54">
        <f t="shared" si="0"/>
        <v>0</v>
      </c>
      <c r="Y24" s="59"/>
      <c r="Z24" s="59"/>
      <c r="AA24" s="4">
        <f t="shared" si="1"/>
        <v>0</v>
      </c>
    </row>
    <row r="25" spans="1:27" s="5" customFormat="1" ht="33.950000000000003" customHeight="1" x14ac:dyDescent="0.3">
      <c r="A25" s="8"/>
      <c r="B25" s="50"/>
      <c r="C25" s="15"/>
      <c r="D25" s="15"/>
      <c r="E25" s="11"/>
      <c r="F25" s="11"/>
      <c r="G25" s="11"/>
      <c r="H25" s="12"/>
      <c r="I25" s="11"/>
      <c r="J25" s="11"/>
      <c r="K25" s="13"/>
      <c r="L25" s="13"/>
      <c r="M25" s="13"/>
      <c r="N25" s="85"/>
      <c r="O25" s="11"/>
      <c r="P25" s="79">
        <f t="shared" si="3"/>
        <v>0</v>
      </c>
      <c r="Q25" s="11"/>
      <c r="R25" s="11"/>
      <c r="S25" s="89"/>
      <c r="T25" s="11"/>
      <c r="U25" s="11"/>
      <c r="V25" s="11"/>
      <c r="W25" s="14">
        <f t="shared" si="2"/>
        <v>0</v>
      </c>
      <c r="X25" s="54">
        <f t="shared" si="0"/>
        <v>0</v>
      </c>
      <c r="Y25" s="59"/>
      <c r="Z25" s="59"/>
      <c r="AA25" s="4">
        <f t="shared" si="1"/>
        <v>0</v>
      </c>
    </row>
    <row r="26" spans="1:27" s="5" customFormat="1" ht="33.950000000000003" customHeight="1" x14ac:dyDescent="0.3">
      <c r="A26" s="8"/>
      <c r="B26" s="50">
        <v>46088</v>
      </c>
      <c r="C26" s="15"/>
      <c r="D26" s="15"/>
      <c r="E26" s="11"/>
      <c r="F26" s="11"/>
      <c r="G26" s="11"/>
      <c r="H26" s="12"/>
      <c r="I26" s="11"/>
      <c r="J26" s="11"/>
      <c r="K26" s="13"/>
      <c r="L26" s="13"/>
      <c r="M26" s="13"/>
      <c r="N26" s="85"/>
      <c r="O26" s="11"/>
      <c r="P26" s="79">
        <f t="shared" si="3"/>
        <v>0</v>
      </c>
      <c r="Q26" s="11"/>
      <c r="R26" s="11"/>
      <c r="S26" s="89"/>
      <c r="T26" s="11"/>
      <c r="U26" s="11"/>
      <c r="V26" s="11"/>
      <c r="W26" s="14">
        <f t="shared" si="2"/>
        <v>0</v>
      </c>
      <c r="X26" s="54">
        <f t="shared" si="0"/>
        <v>0</v>
      </c>
      <c r="Y26" s="59"/>
      <c r="Z26" s="59"/>
      <c r="AA26" s="4">
        <f t="shared" si="1"/>
        <v>0</v>
      </c>
    </row>
    <row r="27" spans="1:27" s="5" customFormat="1" ht="33.950000000000003" customHeight="1" x14ac:dyDescent="0.3">
      <c r="A27" s="8"/>
      <c r="B27" s="50">
        <v>46089</v>
      </c>
      <c r="C27" s="15"/>
      <c r="D27" s="15"/>
      <c r="E27" s="11"/>
      <c r="F27" s="11"/>
      <c r="G27" s="11"/>
      <c r="H27" s="12"/>
      <c r="I27" s="11"/>
      <c r="J27" s="11"/>
      <c r="K27" s="13"/>
      <c r="L27" s="13"/>
      <c r="M27" s="13"/>
      <c r="N27" s="85"/>
      <c r="O27" s="11"/>
      <c r="P27" s="79">
        <f t="shared" si="3"/>
        <v>0</v>
      </c>
      <c r="Q27" s="11"/>
      <c r="R27" s="11"/>
      <c r="S27" s="89"/>
      <c r="T27" s="11"/>
      <c r="U27" s="11"/>
      <c r="V27" s="11"/>
      <c r="W27" s="14">
        <f t="shared" si="2"/>
        <v>0</v>
      </c>
      <c r="X27" s="54">
        <f t="shared" si="0"/>
        <v>0</v>
      </c>
      <c r="Y27" s="59"/>
      <c r="Z27" s="59"/>
      <c r="AA27" s="4">
        <f t="shared" si="1"/>
        <v>0</v>
      </c>
    </row>
    <row r="28" spans="1:27" s="5" customFormat="1" ht="33.950000000000003" customHeight="1" x14ac:dyDescent="0.3">
      <c r="A28" s="8"/>
      <c r="B28" s="50">
        <v>46096</v>
      </c>
      <c r="C28" s="15"/>
      <c r="D28" s="15"/>
      <c r="E28" s="11"/>
      <c r="F28" s="11"/>
      <c r="G28" s="11"/>
      <c r="H28" s="12"/>
      <c r="I28" s="11"/>
      <c r="J28" s="11"/>
      <c r="K28" s="13"/>
      <c r="L28" s="13"/>
      <c r="M28" s="13"/>
      <c r="N28" s="85"/>
      <c r="O28" s="11"/>
      <c r="P28" s="79">
        <f t="shared" si="3"/>
        <v>0</v>
      </c>
      <c r="Q28" s="11"/>
      <c r="R28" s="11"/>
      <c r="S28" s="89"/>
      <c r="T28" s="11"/>
      <c r="U28" s="11"/>
      <c r="V28" s="11"/>
      <c r="W28" s="14">
        <f t="shared" si="2"/>
        <v>0</v>
      </c>
      <c r="X28" s="54">
        <f t="shared" si="0"/>
        <v>0</v>
      </c>
      <c r="Y28" s="59"/>
      <c r="Z28" s="59"/>
      <c r="AA28" s="4">
        <f t="shared" si="1"/>
        <v>0</v>
      </c>
    </row>
    <row r="29" spans="1:27" s="5" customFormat="1" ht="33.950000000000003" customHeight="1" x14ac:dyDescent="0.3">
      <c r="A29" s="8"/>
      <c r="B29" s="50">
        <v>46097</v>
      </c>
      <c r="C29" s="15"/>
      <c r="D29" s="15"/>
      <c r="E29" s="11"/>
      <c r="F29" s="11"/>
      <c r="G29" s="11"/>
      <c r="H29" s="12"/>
      <c r="I29" s="11"/>
      <c r="J29" s="11"/>
      <c r="K29" s="13"/>
      <c r="L29" s="13"/>
      <c r="M29" s="13"/>
      <c r="N29" s="85"/>
      <c r="O29" s="11"/>
      <c r="P29" s="79">
        <f t="shared" si="3"/>
        <v>0</v>
      </c>
      <c r="Q29" s="11"/>
      <c r="R29" s="11"/>
      <c r="S29" s="89"/>
      <c r="T29" s="11"/>
      <c r="U29" s="11"/>
      <c r="V29" s="11"/>
      <c r="W29" s="14">
        <f t="shared" si="2"/>
        <v>0</v>
      </c>
      <c r="X29" s="54">
        <f t="shared" si="0"/>
        <v>0</v>
      </c>
      <c r="Y29" s="59"/>
      <c r="Z29" s="59"/>
      <c r="AA29" s="4">
        <f t="shared" si="1"/>
        <v>0</v>
      </c>
    </row>
    <row r="30" spans="1:27" s="5" customFormat="1" ht="33.950000000000003" customHeight="1" x14ac:dyDescent="0.3">
      <c r="A30" s="8"/>
      <c r="B30" s="50">
        <v>46102</v>
      </c>
      <c r="C30" s="15"/>
      <c r="D30" s="15"/>
      <c r="E30" s="11"/>
      <c r="F30" s="11"/>
      <c r="G30" s="11"/>
      <c r="H30" s="12"/>
      <c r="I30" s="11"/>
      <c r="J30" s="11"/>
      <c r="K30" s="13"/>
      <c r="L30" s="13"/>
      <c r="M30" s="13"/>
      <c r="N30" s="85"/>
      <c r="O30" s="11"/>
      <c r="P30" s="79">
        <f t="shared" si="3"/>
        <v>0</v>
      </c>
      <c r="Q30" s="11"/>
      <c r="R30" s="11"/>
      <c r="S30" s="89"/>
      <c r="T30" s="11"/>
      <c r="U30" s="11"/>
      <c r="V30" s="11"/>
      <c r="W30" s="14">
        <f t="shared" si="2"/>
        <v>0</v>
      </c>
      <c r="X30" s="54">
        <f t="shared" si="0"/>
        <v>0</v>
      </c>
      <c r="Y30" s="59"/>
      <c r="Z30" s="59"/>
      <c r="AA30" s="4">
        <f t="shared" si="1"/>
        <v>0</v>
      </c>
    </row>
    <row r="31" spans="1:27" s="5" customFormat="1" ht="33.950000000000003" customHeight="1" x14ac:dyDescent="0.3">
      <c r="A31" s="8"/>
      <c r="B31" s="50">
        <v>46103</v>
      </c>
      <c r="C31" s="15"/>
      <c r="D31" s="15"/>
      <c r="E31" s="11"/>
      <c r="F31" s="11"/>
      <c r="G31" s="11"/>
      <c r="H31" s="12"/>
      <c r="I31" s="11"/>
      <c r="J31" s="11"/>
      <c r="K31" s="13"/>
      <c r="L31" s="13"/>
      <c r="M31" s="13"/>
      <c r="N31" s="85"/>
      <c r="O31" s="11"/>
      <c r="P31" s="79">
        <f t="shared" si="3"/>
        <v>0</v>
      </c>
      <c r="Q31" s="11"/>
      <c r="R31" s="11"/>
      <c r="S31" s="89"/>
      <c r="T31" s="11"/>
      <c r="U31" s="11"/>
      <c r="V31" s="11"/>
      <c r="W31" s="14">
        <f t="shared" si="2"/>
        <v>0</v>
      </c>
      <c r="X31" s="54">
        <f t="shared" si="0"/>
        <v>0</v>
      </c>
      <c r="Y31" s="59"/>
      <c r="Z31" s="59"/>
      <c r="AA31" s="4">
        <f t="shared" si="1"/>
        <v>0</v>
      </c>
    </row>
    <row r="32" spans="1:27" s="5" customFormat="1" ht="33.950000000000003" customHeight="1" x14ac:dyDescent="0.3">
      <c r="A32" s="8"/>
      <c r="B32" s="50">
        <v>46110</v>
      </c>
      <c r="C32" s="15"/>
      <c r="D32" s="15"/>
      <c r="E32" s="11"/>
      <c r="F32" s="11"/>
      <c r="G32" s="11"/>
      <c r="H32" s="12"/>
      <c r="I32" s="11"/>
      <c r="J32" s="11"/>
      <c r="K32" s="13"/>
      <c r="L32" s="13"/>
      <c r="M32" s="13"/>
      <c r="N32" s="85"/>
      <c r="O32" s="11"/>
      <c r="P32" s="79">
        <f t="shared" si="3"/>
        <v>0</v>
      </c>
      <c r="Q32" s="11"/>
      <c r="R32" s="11"/>
      <c r="S32" s="89"/>
      <c r="T32" s="11"/>
      <c r="U32" s="11"/>
      <c r="V32" s="11"/>
      <c r="W32" s="14">
        <f t="shared" si="2"/>
        <v>0</v>
      </c>
      <c r="X32" s="54">
        <f t="shared" si="0"/>
        <v>0</v>
      </c>
      <c r="Y32" s="59"/>
      <c r="Z32" s="59"/>
      <c r="AA32" s="4">
        <f t="shared" si="1"/>
        <v>0</v>
      </c>
    </row>
    <row r="33" spans="1:27" s="5" customFormat="1" ht="33.950000000000003" customHeight="1" x14ac:dyDescent="0.3">
      <c r="A33" s="8"/>
      <c r="B33" s="50">
        <v>46112</v>
      </c>
      <c r="C33" s="15"/>
      <c r="D33" s="15"/>
      <c r="E33" s="11"/>
      <c r="F33" s="11"/>
      <c r="G33" s="11"/>
      <c r="H33" s="12"/>
      <c r="I33" s="11"/>
      <c r="J33" s="11"/>
      <c r="K33" s="13"/>
      <c r="L33" s="13"/>
      <c r="M33" s="13"/>
      <c r="N33" s="85"/>
      <c r="O33" s="11"/>
      <c r="P33" s="79">
        <f t="shared" si="3"/>
        <v>0</v>
      </c>
      <c r="Q33" s="11"/>
      <c r="R33" s="11"/>
      <c r="S33" s="89"/>
      <c r="T33" s="11"/>
      <c r="U33" s="11"/>
      <c r="V33" s="11"/>
      <c r="W33" s="14">
        <f t="shared" si="2"/>
        <v>0</v>
      </c>
      <c r="X33" s="54">
        <f t="shared" si="0"/>
        <v>0</v>
      </c>
      <c r="Y33" s="59"/>
      <c r="Z33" s="59"/>
      <c r="AA33" s="4">
        <f t="shared" si="1"/>
        <v>0</v>
      </c>
    </row>
    <row r="34" spans="1:27" s="5" customFormat="1" ht="33.950000000000003" customHeight="1" x14ac:dyDescent="0.3">
      <c r="A34" s="8"/>
      <c r="B34" s="50"/>
      <c r="C34" s="15"/>
      <c r="D34" s="15"/>
      <c r="E34" s="11"/>
      <c r="F34" s="11"/>
      <c r="G34" s="11"/>
      <c r="H34" s="11"/>
      <c r="I34" s="11"/>
      <c r="J34" s="11"/>
      <c r="K34" s="13"/>
      <c r="L34" s="13"/>
      <c r="M34" s="13"/>
      <c r="N34" s="85"/>
      <c r="O34" s="11"/>
      <c r="P34" s="79">
        <f t="shared" si="3"/>
        <v>0</v>
      </c>
      <c r="Q34" s="11"/>
      <c r="R34" s="11"/>
      <c r="S34" s="89"/>
      <c r="T34" s="11"/>
      <c r="U34" s="11"/>
      <c r="V34" s="11"/>
      <c r="W34" s="14">
        <f t="shared" si="2"/>
        <v>0</v>
      </c>
      <c r="X34" s="54">
        <f t="shared" si="0"/>
        <v>0</v>
      </c>
      <c r="Y34" s="59"/>
      <c r="Z34" s="59"/>
      <c r="AA34" s="4">
        <f t="shared" si="1"/>
        <v>0</v>
      </c>
    </row>
    <row r="35" spans="1:27" s="5" customFormat="1" ht="33.950000000000003" customHeight="1" x14ac:dyDescent="0.3">
      <c r="A35" s="8" t="s">
        <v>39</v>
      </c>
      <c r="B35" s="50">
        <v>46116</v>
      </c>
      <c r="C35" s="15"/>
      <c r="D35" s="15"/>
      <c r="E35" s="11"/>
      <c r="F35" s="11"/>
      <c r="G35" s="11"/>
      <c r="H35" s="11"/>
      <c r="I35" s="11"/>
      <c r="J35" s="9"/>
      <c r="K35" s="13"/>
      <c r="L35" s="13"/>
      <c r="M35" s="13"/>
      <c r="N35" s="85"/>
      <c r="O35" s="11"/>
      <c r="P35" s="79">
        <f t="shared" si="3"/>
        <v>0</v>
      </c>
      <c r="Q35" s="11"/>
      <c r="R35" s="11"/>
      <c r="S35" s="89"/>
      <c r="T35" s="11"/>
      <c r="U35" s="11"/>
      <c r="V35" s="11"/>
      <c r="W35" s="14">
        <f t="shared" si="2"/>
        <v>0</v>
      </c>
      <c r="X35" s="54">
        <f t="shared" si="0"/>
        <v>0</v>
      </c>
      <c r="Y35" s="59"/>
      <c r="Z35" s="59"/>
      <c r="AA35" s="4">
        <f t="shared" si="1"/>
        <v>0</v>
      </c>
    </row>
    <row r="36" spans="1:27" s="5" customFormat="1" ht="33.950000000000003" customHeight="1" x14ac:dyDescent="0.3">
      <c r="A36" s="8"/>
      <c r="B36" s="50">
        <v>46118</v>
      </c>
      <c r="C36" s="15"/>
      <c r="D36" s="15"/>
      <c r="E36" s="11"/>
      <c r="F36" s="11"/>
      <c r="G36" s="11"/>
      <c r="H36" s="11"/>
      <c r="I36" s="11"/>
      <c r="J36" s="9"/>
      <c r="K36" s="13"/>
      <c r="L36" s="13"/>
      <c r="M36" s="13"/>
      <c r="N36" s="85"/>
      <c r="O36" s="11"/>
      <c r="P36" s="79">
        <f t="shared" si="3"/>
        <v>0</v>
      </c>
      <c r="Q36" s="11"/>
      <c r="R36" s="11"/>
      <c r="S36" s="89"/>
      <c r="T36" s="11"/>
      <c r="U36" s="11"/>
      <c r="V36" s="11"/>
      <c r="W36" s="14">
        <f t="shared" si="2"/>
        <v>0</v>
      </c>
      <c r="X36" s="54">
        <f t="shared" si="0"/>
        <v>0</v>
      </c>
      <c r="Y36" s="59"/>
      <c r="Z36" s="59"/>
      <c r="AA36" s="4">
        <f t="shared" si="1"/>
        <v>0</v>
      </c>
    </row>
    <row r="37" spans="1:27" s="5" customFormat="1" ht="33.950000000000003" customHeight="1" x14ac:dyDescent="0.3">
      <c r="A37" s="8"/>
      <c r="B37" s="50"/>
      <c r="C37" s="15"/>
      <c r="D37" s="15"/>
      <c r="E37" s="11"/>
      <c r="F37" s="11"/>
      <c r="G37" s="11"/>
      <c r="H37" s="11"/>
      <c r="I37" s="11"/>
      <c r="J37" s="11"/>
      <c r="K37" s="13"/>
      <c r="L37" s="13"/>
      <c r="M37" s="13"/>
      <c r="N37" s="85"/>
      <c r="O37" s="11"/>
      <c r="P37" s="79">
        <f t="shared" si="3"/>
        <v>0</v>
      </c>
      <c r="Q37" s="11"/>
      <c r="R37" s="11"/>
      <c r="S37" s="89"/>
      <c r="T37" s="11"/>
      <c r="U37" s="11"/>
      <c r="V37" s="11"/>
      <c r="W37" s="14">
        <f t="shared" si="2"/>
        <v>0</v>
      </c>
      <c r="X37" s="54">
        <f t="shared" si="0"/>
        <v>0</v>
      </c>
      <c r="Y37" s="59"/>
      <c r="Z37" s="59"/>
      <c r="AA37" s="4">
        <f t="shared" si="1"/>
        <v>0</v>
      </c>
    </row>
    <row r="38" spans="1:27" s="5" customFormat="1" ht="33.950000000000003" customHeight="1" x14ac:dyDescent="0.3">
      <c r="A38" s="8" t="s">
        <v>38</v>
      </c>
      <c r="B38" s="50">
        <v>46119</v>
      </c>
      <c r="C38" s="15"/>
      <c r="D38" s="15"/>
      <c r="E38" s="11"/>
      <c r="F38" s="11"/>
      <c r="G38" s="11"/>
      <c r="H38" s="11"/>
      <c r="I38" s="11"/>
      <c r="J38" s="11"/>
      <c r="K38" s="13"/>
      <c r="L38" s="13"/>
      <c r="M38" s="13"/>
      <c r="N38" s="85"/>
      <c r="O38" s="11"/>
      <c r="P38" s="79">
        <f t="shared" si="3"/>
        <v>0</v>
      </c>
      <c r="Q38" s="11"/>
      <c r="R38" s="11"/>
      <c r="S38" s="89"/>
      <c r="T38" s="11"/>
      <c r="U38" s="11"/>
      <c r="V38" s="11"/>
      <c r="W38" s="14">
        <f t="shared" si="2"/>
        <v>0</v>
      </c>
      <c r="X38" s="54">
        <f t="shared" si="0"/>
        <v>0</v>
      </c>
      <c r="Y38" s="59"/>
      <c r="Z38" s="59"/>
      <c r="AA38" s="4">
        <f t="shared" si="1"/>
        <v>0</v>
      </c>
    </row>
    <row r="39" spans="1:27" s="5" customFormat="1" ht="33.950000000000003" customHeight="1" x14ac:dyDescent="0.3">
      <c r="A39" s="8"/>
      <c r="B39" s="50">
        <v>46120</v>
      </c>
      <c r="C39" s="15"/>
      <c r="D39" s="15"/>
      <c r="E39" s="11"/>
      <c r="F39" s="11"/>
      <c r="G39" s="11"/>
      <c r="H39" s="11"/>
      <c r="I39" s="11"/>
      <c r="J39" s="11"/>
      <c r="K39" s="13"/>
      <c r="L39" s="13"/>
      <c r="M39" s="13"/>
      <c r="N39" s="85"/>
      <c r="O39" s="11"/>
      <c r="P39" s="79">
        <f t="shared" si="3"/>
        <v>0</v>
      </c>
      <c r="Q39" s="11"/>
      <c r="R39" s="11"/>
      <c r="S39" s="89"/>
      <c r="T39" s="11"/>
      <c r="U39" s="11"/>
      <c r="V39" s="11"/>
      <c r="W39" s="14">
        <f t="shared" si="2"/>
        <v>0</v>
      </c>
      <c r="X39" s="54">
        <f t="shared" si="0"/>
        <v>0</v>
      </c>
      <c r="Y39" s="59"/>
      <c r="Z39" s="59"/>
      <c r="AA39" s="4">
        <f t="shared" si="1"/>
        <v>0</v>
      </c>
    </row>
    <row r="40" spans="1:27" s="5" customFormat="1" ht="33.950000000000003" customHeight="1" x14ac:dyDescent="0.3">
      <c r="A40" s="8" t="s">
        <v>43</v>
      </c>
      <c r="B40" s="50">
        <v>46121</v>
      </c>
      <c r="C40" s="15"/>
      <c r="D40" s="15"/>
      <c r="E40" s="11"/>
      <c r="F40" s="11"/>
      <c r="G40" s="11"/>
      <c r="H40" s="11"/>
      <c r="I40" s="11"/>
      <c r="J40" s="11"/>
      <c r="K40" s="13"/>
      <c r="L40" s="13"/>
      <c r="M40" s="13"/>
      <c r="N40" s="85"/>
      <c r="O40" s="11"/>
      <c r="P40" s="79">
        <f t="shared" si="3"/>
        <v>0</v>
      </c>
      <c r="Q40" s="11"/>
      <c r="R40" s="11"/>
      <c r="S40" s="89"/>
      <c r="T40" s="11"/>
      <c r="U40" s="11"/>
      <c r="V40" s="11"/>
      <c r="W40" s="14">
        <f t="shared" si="2"/>
        <v>0</v>
      </c>
      <c r="X40" s="54">
        <f t="shared" si="0"/>
        <v>0</v>
      </c>
      <c r="Y40" s="59"/>
      <c r="Z40" s="59"/>
      <c r="AA40" s="4">
        <f t="shared" si="1"/>
        <v>0</v>
      </c>
    </row>
    <row r="41" spans="1:27" s="5" customFormat="1" ht="33.950000000000003" customHeight="1" x14ac:dyDescent="0.3">
      <c r="A41" s="8" t="s">
        <v>42</v>
      </c>
      <c r="B41" s="50">
        <v>46122</v>
      </c>
      <c r="C41" s="15"/>
      <c r="D41" s="15"/>
      <c r="E41" s="11"/>
      <c r="F41" s="11"/>
      <c r="G41" s="11"/>
      <c r="H41" s="11"/>
      <c r="I41" s="11"/>
      <c r="J41" s="11"/>
      <c r="K41" s="13"/>
      <c r="L41" s="13"/>
      <c r="M41" s="13"/>
      <c r="N41" s="85"/>
      <c r="O41" s="11"/>
      <c r="P41" s="79">
        <f t="shared" si="3"/>
        <v>0</v>
      </c>
      <c r="Q41" s="11"/>
      <c r="R41" s="11"/>
      <c r="S41" s="89"/>
      <c r="T41" s="11"/>
      <c r="U41" s="11"/>
      <c r="V41" s="11"/>
      <c r="W41" s="14">
        <f t="shared" si="2"/>
        <v>0</v>
      </c>
      <c r="X41" s="54">
        <f t="shared" si="0"/>
        <v>0</v>
      </c>
      <c r="Y41" s="59"/>
      <c r="Z41" s="59"/>
      <c r="AA41" s="4">
        <f t="shared" si="1"/>
        <v>0</v>
      </c>
    </row>
    <row r="42" spans="1:27" s="5" customFormat="1" ht="33.950000000000003" customHeight="1" x14ac:dyDescent="0.3">
      <c r="A42" s="8"/>
      <c r="B42" s="50">
        <v>46123</v>
      </c>
      <c r="C42" s="15"/>
      <c r="D42" s="15"/>
      <c r="E42" s="11"/>
      <c r="F42" s="11"/>
      <c r="G42" s="11"/>
      <c r="H42" s="11"/>
      <c r="I42" s="11"/>
      <c r="J42" s="11"/>
      <c r="K42" s="13"/>
      <c r="L42" s="13"/>
      <c r="M42" s="13"/>
      <c r="N42" s="85"/>
      <c r="O42" s="11"/>
      <c r="P42" s="79">
        <f t="shared" si="3"/>
        <v>0</v>
      </c>
      <c r="Q42" s="11"/>
      <c r="R42" s="11"/>
      <c r="S42" s="89"/>
      <c r="T42" s="16"/>
      <c r="U42" s="16"/>
      <c r="V42" s="16"/>
      <c r="W42" s="14">
        <f t="shared" si="2"/>
        <v>0</v>
      </c>
      <c r="X42" s="54">
        <f t="shared" si="0"/>
        <v>0</v>
      </c>
      <c r="Y42" s="59"/>
      <c r="Z42" s="59"/>
      <c r="AA42" s="4">
        <f t="shared" si="1"/>
        <v>0</v>
      </c>
    </row>
    <row r="43" spans="1:27" s="5" customFormat="1" ht="33.950000000000003" customHeight="1" x14ac:dyDescent="0.3">
      <c r="A43" s="8" t="s">
        <v>38</v>
      </c>
      <c r="B43" s="50">
        <v>46126</v>
      </c>
      <c r="C43" s="15"/>
      <c r="D43" s="15"/>
      <c r="E43" s="11"/>
      <c r="F43" s="11"/>
      <c r="G43" s="11"/>
      <c r="H43" s="11"/>
      <c r="I43" s="11"/>
      <c r="J43" s="11"/>
      <c r="K43" s="13"/>
      <c r="L43" s="13"/>
      <c r="M43" s="13"/>
      <c r="N43" s="85"/>
      <c r="O43" s="11"/>
      <c r="P43" s="79">
        <f t="shared" si="3"/>
        <v>0</v>
      </c>
      <c r="Q43" s="11"/>
      <c r="R43" s="11"/>
      <c r="S43" s="89"/>
      <c r="T43" s="11"/>
      <c r="U43" s="11"/>
      <c r="V43" s="11"/>
      <c r="W43" s="14">
        <f t="shared" si="2"/>
        <v>0</v>
      </c>
      <c r="X43" s="54">
        <f t="shared" si="0"/>
        <v>0</v>
      </c>
      <c r="Y43" s="59"/>
      <c r="Z43" s="59"/>
      <c r="AA43" s="4">
        <f t="shared" si="1"/>
        <v>0</v>
      </c>
    </row>
    <row r="44" spans="1:27" s="5" customFormat="1" ht="33.950000000000003" customHeight="1" x14ac:dyDescent="0.3">
      <c r="A44" s="8"/>
      <c r="B44" s="50"/>
      <c r="C44" s="15"/>
      <c r="D44" s="15"/>
      <c r="E44" s="11"/>
      <c r="F44" s="11"/>
      <c r="G44" s="11"/>
      <c r="H44" s="11"/>
      <c r="I44" s="11"/>
      <c r="J44" s="11"/>
      <c r="K44" s="13"/>
      <c r="L44" s="13"/>
      <c r="M44" s="13"/>
      <c r="N44" s="85"/>
      <c r="O44" s="11"/>
      <c r="P44" s="79">
        <f t="shared" si="3"/>
        <v>0</v>
      </c>
      <c r="Q44" s="11"/>
      <c r="R44" s="11"/>
      <c r="S44" s="89"/>
      <c r="T44" s="11"/>
      <c r="U44" s="11"/>
      <c r="V44" s="11"/>
      <c r="W44" s="14">
        <f t="shared" si="2"/>
        <v>0</v>
      </c>
      <c r="X44" s="54">
        <f t="shared" si="0"/>
        <v>0</v>
      </c>
      <c r="Y44" s="59"/>
      <c r="Z44" s="59"/>
      <c r="AA44" s="4">
        <f t="shared" si="1"/>
        <v>0</v>
      </c>
    </row>
    <row r="45" spans="1:27" s="5" customFormat="1" ht="33.950000000000003" customHeight="1" x14ac:dyDescent="0.3">
      <c r="A45" s="8" t="s">
        <v>42</v>
      </c>
      <c r="B45" s="50">
        <v>46129</v>
      </c>
      <c r="C45" s="15"/>
      <c r="D45" s="15"/>
      <c r="E45" s="11"/>
      <c r="F45" s="11"/>
      <c r="G45" s="11"/>
      <c r="H45" s="11"/>
      <c r="I45" s="11"/>
      <c r="J45" s="11"/>
      <c r="K45" s="13"/>
      <c r="L45" s="13"/>
      <c r="M45" s="13"/>
      <c r="N45" s="85"/>
      <c r="O45" s="11"/>
      <c r="P45" s="79">
        <f t="shared" si="3"/>
        <v>0</v>
      </c>
      <c r="Q45" s="11"/>
      <c r="R45" s="11"/>
      <c r="S45" s="89"/>
      <c r="T45" s="11"/>
      <c r="U45" s="11"/>
      <c r="V45" s="11"/>
      <c r="W45" s="14">
        <f t="shared" si="2"/>
        <v>0</v>
      </c>
      <c r="X45" s="54">
        <f t="shared" si="0"/>
        <v>0</v>
      </c>
      <c r="Y45" s="59"/>
      <c r="Z45" s="59"/>
      <c r="AA45" s="4">
        <f t="shared" si="1"/>
        <v>0</v>
      </c>
    </row>
    <row r="46" spans="1:27" s="5" customFormat="1" ht="33.950000000000003" customHeight="1" x14ac:dyDescent="0.3">
      <c r="A46" s="8" t="s">
        <v>40</v>
      </c>
      <c r="B46" s="50">
        <v>46130</v>
      </c>
      <c r="C46" s="15"/>
      <c r="D46" s="15"/>
      <c r="E46" s="11"/>
      <c r="F46" s="11"/>
      <c r="G46" s="11"/>
      <c r="H46" s="11"/>
      <c r="I46" s="11"/>
      <c r="J46" s="11"/>
      <c r="K46" s="13"/>
      <c r="L46" s="13"/>
      <c r="M46" s="13"/>
      <c r="N46" s="85"/>
      <c r="O46" s="11"/>
      <c r="P46" s="79">
        <f t="shared" si="3"/>
        <v>0</v>
      </c>
      <c r="Q46" s="11"/>
      <c r="R46" s="11"/>
      <c r="S46" s="89"/>
      <c r="T46" s="11"/>
      <c r="U46" s="11"/>
      <c r="V46" s="11"/>
      <c r="W46" s="14">
        <f t="shared" si="2"/>
        <v>0</v>
      </c>
      <c r="X46" s="54">
        <f t="shared" si="0"/>
        <v>0</v>
      </c>
      <c r="Y46" s="59"/>
      <c r="Z46" s="59"/>
      <c r="AA46" s="4">
        <f t="shared" si="1"/>
        <v>0</v>
      </c>
    </row>
    <row r="47" spans="1:27" s="5" customFormat="1" ht="33.950000000000003" customHeight="1" x14ac:dyDescent="0.3">
      <c r="A47" s="8" t="s">
        <v>41</v>
      </c>
      <c r="B47" s="50">
        <v>46132</v>
      </c>
      <c r="C47" s="15"/>
      <c r="D47" s="15"/>
      <c r="E47" s="11"/>
      <c r="F47" s="11"/>
      <c r="G47" s="11"/>
      <c r="H47" s="11"/>
      <c r="I47" s="11"/>
      <c r="J47" s="11"/>
      <c r="K47" s="13"/>
      <c r="L47" s="13"/>
      <c r="M47" s="13"/>
      <c r="N47" s="85"/>
      <c r="O47" s="11"/>
      <c r="P47" s="79">
        <f t="shared" si="3"/>
        <v>0</v>
      </c>
      <c r="Q47" s="11"/>
      <c r="R47" s="11"/>
      <c r="S47" s="89"/>
      <c r="T47" s="11"/>
      <c r="U47" s="11"/>
      <c r="V47" s="11"/>
      <c r="W47" s="14">
        <f t="shared" si="2"/>
        <v>0</v>
      </c>
      <c r="X47" s="54">
        <f t="shared" si="0"/>
        <v>0</v>
      </c>
      <c r="Y47" s="59"/>
      <c r="Z47" s="59"/>
      <c r="AA47" s="4">
        <f t="shared" si="1"/>
        <v>0</v>
      </c>
    </row>
    <row r="48" spans="1:27" s="5" customFormat="1" ht="33.950000000000003" customHeight="1" x14ac:dyDescent="0.3">
      <c r="A48" s="8" t="s">
        <v>38</v>
      </c>
      <c r="B48" s="50">
        <v>46133</v>
      </c>
      <c r="C48" s="9"/>
      <c r="D48" s="15"/>
      <c r="E48" s="11"/>
      <c r="F48" s="11"/>
      <c r="G48" s="11"/>
      <c r="H48" s="11"/>
      <c r="I48" s="11"/>
      <c r="J48" s="11"/>
      <c r="K48" s="13"/>
      <c r="L48" s="13"/>
      <c r="M48" s="13"/>
      <c r="N48" s="85"/>
      <c r="O48" s="11"/>
      <c r="P48" s="79">
        <f t="shared" si="3"/>
        <v>0</v>
      </c>
      <c r="Q48" s="11"/>
      <c r="R48" s="11"/>
      <c r="S48" s="89"/>
      <c r="T48" s="11"/>
      <c r="U48" s="11"/>
      <c r="V48" s="11"/>
      <c r="W48" s="14">
        <f t="shared" si="2"/>
        <v>0</v>
      </c>
      <c r="X48" s="54">
        <f t="shared" si="0"/>
        <v>0</v>
      </c>
      <c r="Y48" s="59"/>
      <c r="Z48" s="59"/>
      <c r="AA48" s="4">
        <f t="shared" si="1"/>
        <v>0</v>
      </c>
    </row>
    <row r="49" spans="1:27" s="5" customFormat="1" ht="33.950000000000003" customHeight="1" x14ac:dyDescent="0.3">
      <c r="A49" s="8" t="s">
        <v>44</v>
      </c>
      <c r="B49" s="50">
        <v>46134</v>
      </c>
      <c r="C49" s="11"/>
      <c r="D49" s="15"/>
      <c r="E49" s="11"/>
      <c r="F49" s="11"/>
      <c r="G49" s="11"/>
      <c r="H49" s="11"/>
      <c r="I49" s="11"/>
      <c r="J49" s="11"/>
      <c r="K49" s="13"/>
      <c r="L49" s="13"/>
      <c r="M49" s="13"/>
      <c r="N49" s="85"/>
      <c r="O49" s="11"/>
      <c r="P49" s="79">
        <f t="shared" si="3"/>
        <v>0</v>
      </c>
      <c r="Q49" s="11"/>
      <c r="R49" s="11"/>
      <c r="S49" s="89"/>
      <c r="T49" s="11"/>
      <c r="U49" s="11"/>
      <c r="V49" s="11"/>
      <c r="W49" s="14">
        <f t="shared" si="2"/>
        <v>0</v>
      </c>
      <c r="X49" s="54">
        <f t="shared" si="0"/>
        <v>0</v>
      </c>
      <c r="Y49" s="59"/>
      <c r="Z49" s="59"/>
      <c r="AA49" s="4">
        <f t="shared" si="1"/>
        <v>0</v>
      </c>
    </row>
    <row r="50" spans="1:27" s="5" customFormat="1" ht="33.950000000000003" customHeight="1" x14ac:dyDescent="0.3">
      <c r="A50" s="8" t="s">
        <v>45</v>
      </c>
      <c r="B50" s="50">
        <v>46135</v>
      </c>
      <c r="C50" s="11"/>
      <c r="D50" s="15"/>
      <c r="E50" s="11"/>
      <c r="F50" s="11"/>
      <c r="G50" s="11"/>
      <c r="H50" s="11"/>
      <c r="I50" s="11"/>
      <c r="J50" s="11"/>
      <c r="K50" s="13"/>
      <c r="L50" s="13"/>
      <c r="M50" s="13"/>
      <c r="N50" s="85"/>
      <c r="O50" s="11"/>
      <c r="P50" s="79">
        <f t="shared" si="3"/>
        <v>0</v>
      </c>
      <c r="Q50" s="11"/>
      <c r="R50" s="11"/>
      <c r="S50" s="89"/>
      <c r="T50" s="11"/>
      <c r="U50" s="11"/>
      <c r="V50" s="11"/>
      <c r="W50" s="14">
        <f t="shared" si="2"/>
        <v>0</v>
      </c>
      <c r="X50" s="54">
        <f t="shared" si="0"/>
        <v>0</v>
      </c>
      <c r="Y50" s="59"/>
      <c r="Z50" s="59"/>
      <c r="AA50" s="4">
        <f t="shared" si="1"/>
        <v>0</v>
      </c>
    </row>
    <row r="51" spans="1:27" s="5" customFormat="1" ht="33.950000000000003" customHeight="1" x14ac:dyDescent="0.3">
      <c r="A51" s="8"/>
      <c r="B51" s="50">
        <v>46135</v>
      </c>
      <c r="C51" s="9"/>
      <c r="D51" s="15"/>
      <c r="E51" s="11"/>
      <c r="F51" s="11"/>
      <c r="G51" s="11"/>
      <c r="H51" s="11"/>
      <c r="I51" s="11"/>
      <c r="J51" s="11"/>
      <c r="K51" s="13"/>
      <c r="L51" s="13"/>
      <c r="M51" s="13"/>
      <c r="N51" s="85"/>
      <c r="O51" s="11"/>
      <c r="P51" s="79">
        <f t="shared" si="3"/>
        <v>0</v>
      </c>
      <c r="Q51" s="11"/>
      <c r="R51" s="11"/>
      <c r="S51" s="89"/>
      <c r="T51" s="11"/>
      <c r="U51" s="11"/>
      <c r="V51" s="11"/>
      <c r="W51" s="14">
        <f t="shared" si="2"/>
        <v>0</v>
      </c>
      <c r="X51" s="54">
        <f t="shared" si="0"/>
        <v>0</v>
      </c>
      <c r="Y51" s="59"/>
      <c r="Z51" s="59"/>
      <c r="AA51" s="4">
        <f t="shared" si="1"/>
        <v>0</v>
      </c>
    </row>
    <row r="52" spans="1:27" s="5" customFormat="1" ht="33.950000000000003" customHeight="1" x14ac:dyDescent="0.3">
      <c r="A52" s="8"/>
      <c r="B52" s="50">
        <v>46136</v>
      </c>
      <c r="C52" s="11"/>
      <c r="D52" s="15"/>
      <c r="E52" s="11"/>
      <c r="F52" s="11"/>
      <c r="G52" s="11"/>
      <c r="H52" s="11"/>
      <c r="I52" s="11"/>
      <c r="J52" s="11"/>
      <c r="K52" s="13"/>
      <c r="L52" s="13"/>
      <c r="M52" s="13"/>
      <c r="N52" s="85"/>
      <c r="O52" s="11"/>
      <c r="P52" s="79">
        <f t="shared" si="3"/>
        <v>0</v>
      </c>
      <c r="Q52" s="11"/>
      <c r="R52" s="11"/>
      <c r="S52" s="89"/>
      <c r="T52" s="11"/>
      <c r="U52" s="11"/>
      <c r="V52" s="11"/>
      <c r="W52" s="14">
        <f t="shared" si="2"/>
        <v>0</v>
      </c>
      <c r="X52" s="54">
        <f t="shared" si="0"/>
        <v>0</v>
      </c>
      <c r="Y52" s="59"/>
      <c r="Z52" s="59"/>
      <c r="AA52" s="4">
        <f t="shared" si="1"/>
        <v>0</v>
      </c>
    </row>
    <row r="53" spans="1:27" s="5" customFormat="1" ht="33.950000000000003" customHeight="1" x14ac:dyDescent="0.3">
      <c r="A53" s="8"/>
      <c r="B53" s="50">
        <v>46137</v>
      </c>
      <c r="C53" s="11"/>
      <c r="D53" s="15"/>
      <c r="E53" s="11"/>
      <c r="F53" s="11"/>
      <c r="G53" s="11"/>
      <c r="H53" s="11"/>
      <c r="I53" s="11"/>
      <c r="J53" s="11"/>
      <c r="K53" s="13"/>
      <c r="L53" s="13"/>
      <c r="M53" s="13"/>
      <c r="N53" s="85"/>
      <c r="O53" s="11"/>
      <c r="P53" s="79">
        <f t="shared" si="3"/>
        <v>0</v>
      </c>
      <c r="Q53" s="11"/>
      <c r="R53" s="11"/>
      <c r="S53" s="89"/>
      <c r="T53" s="11"/>
      <c r="U53" s="11"/>
      <c r="V53" s="11"/>
      <c r="W53" s="14">
        <f t="shared" si="2"/>
        <v>0</v>
      </c>
      <c r="X53" s="54">
        <f t="shared" si="0"/>
        <v>0</v>
      </c>
      <c r="Y53" s="59"/>
      <c r="Z53" s="59"/>
      <c r="AA53" s="4">
        <f t="shared" si="1"/>
        <v>0</v>
      </c>
    </row>
    <row r="54" spans="1:27" s="5" customFormat="1" ht="33.950000000000003" customHeight="1" x14ac:dyDescent="0.3">
      <c r="A54" s="8"/>
      <c r="B54" s="50">
        <v>46138</v>
      </c>
      <c r="C54" s="11"/>
      <c r="D54" s="11"/>
      <c r="E54" s="11"/>
      <c r="F54" s="11"/>
      <c r="G54" s="11"/>
      <c r="H54" s="11"/>
      <c r="I54" s="11"/>
      <c r="J54" s="11"/>
      <c r="K54" s="13"/>
      <c r="L54" s="13"/>
      <c r="M54" s="13"/>
      <c r="N54" s="85"/>
      <c r="O54" s="11"/>
      <c r="P54" s="79">
        <f t="shared" si="3"/>
        <v>0</v>
      </c>
      <c r="Q54" s="11"/>
      <c r="R54" s="11"/>
      <c r="S54" s="89"/>
      <c r="T54" s="11"/>
      <c r="U54" s="11"/>
      <c r="V54" s="11"/>
      <c r="W54" s="14">
        <f t="shared" si="2"/>
        <v>0</v>
      </c>
      <c r="X54" s="54">
        <f t="shared" si="0"/>
        <v>0</v>
      </c>
      <c r="Y54" s="59"/>
      <c r="Z54" s="59"/>
      <c r="AA54" s="4">
        <f t="shared" si="1"/>
        <v>0</v>
      </c>
    </row>
    <row r="55" spans="1:27" s="5" customFormat="1" ht="33.950000000000003" customHeight="1" x14ac:dyDescent="0.3">
      <c r="A55" s="8"/>
      <c r="B55" s="50">
        <v>46139</v>
      </c>
      <c r="C55" s="11"/>
      <c r="D55" s="11"/>
      <c r="E55" s="11"/>
      <c r="F55" s="11"/>
      <c r="G55" s="11"/>
      <c r="H55" s="11"/>
      <c r="I55" s="11"/>
      <c r="J55" s="11"/>
      <c r="K55" s="13"/>
      <c r="L55" s="13"/>
      <c r="M55" s="13"/>
      <c r="N55" s="85"/>
      <c r="O55" s="11"/>
      <c r="P55" s="79">
        <f t="shared" si="3"/>
        <v>0</v>
      </c>
      <c r="Q55" s="11"/>
      <c r="R55" s="11"/>
      <c r="S55" s="89"/>
      <c r="T55" s="11"/>
      <c r="U55" s="11"/>
      <c r="V55" s="11"/>
      <c r="W55" s="14">
        <f t="shared" si="2"/>
        <v>0</v>
      </c>
      <c r="X55" s="54">
        <f t="shared" si="0"/>
        <v>0</v>
      </c>
      <c r="Y55" s="59"/>
      <c r="Z55" s="59"/>
      <c r="AA55" s="4">
        <f t="shared" si="1"/>
        <v>0</v>
      </c>
    </row>
    <row r="56" spans="1:27" s="5" customFormat="1" ht="33.950000000000003" customHeight="1" x14ac:dyDescent="0.3">
      <c r="A56" s="8"/>
      <c r="B56" s="50">
        <v>46140</v>
      </c>
      <c r="C56" s="11"/>
      <c r="D56" s="11"/>
      <c r="E56" s="11"/>
      <c r="F56" s="11"/>
      <c r="G56" s="11"/>
      <c r="H56" s="11"/>
      <c r="I56" s="11"/>
      <c r="J56" s="46"/>
      <c r="K56" s="13"/>
      <c r="L56" s="13"/>
      <c r="M56" s="13"/>
      <c r="N56" s="85"/>
      <c r="O56" s="11"/>
      <c r="P56" s="79">
        <f t="shared" si="3"/>
        <v>0</v>
      </c>
      <c r="Q56" s="11"/>
      <c r="R56" s="11"/>
      <c r="S56" s="89"/>
      <c r="T56" s="11"/>
      <c r="U56" s="11"/>
      <c r="V56" s="11"/>
      <c r="W56" s="14">
        <f t="shared" si="2"/>
        <v>0</v>
      </c>
      <c r="X56" s="54">
        <f t="shared" si="0"/>
        <v>0</v>
      </c>
      <c r="Y56" s="59"/>
      <c r="Z56" s="59"/>
      <c r="AA56" s="4">
        <f t="shared" si="1"/>
        <v>0</v>
      </c>
    </row>
    <row r="57" spans="1:27" s="5" customFormat="1" ht="33.950000000000003" customHeight="1" x14ac:dyDescent="0.3">
      <c r="A57" s="8"/>
      <c r="B57" s="50">
        <v>46141</v>
      </c>
      <c r="C57" s="11"/>
      <c r="D57" s="11"/>
      <c r="E57" s="11"/>
      <c r="F57" s="11"/>
      <c r="G57" s="11"/>
      <c r="H57" s="11"/>
      <c r="I57" s="11"/>
      <c r="J57" s="46"/>
      <c r="K57" s="13"/>
      <c r="L57" s="13"/>
      <c r="M57" s="13"/>
      <c r="N57" s="85"/>
      <c r="O57" s="11"/>
      <c r="P57" s="79">
        <f t="shared" si="3"/>
        <v>0</v>
      </c>
      <c r="Q57" s="11"/>
      <c r="R57" s="11"/>
      <c r="S57" s="89"/>
      <c r="T57" s="11"/>
      <c r="U57" s="11"/>
      <c r="V57" s="11"/>
      <c r="W57" s="14">
        <f t="shared" si="2"/>
        <v>0</v>
      </c>
      <c r="X57" s="54">
        <f t="shared" si="0"/>
        <v>0</v>
      </c>
      <c r="Y57" s="59"/>
      <c r="Z57" s="59"/>
      <c r="AA57" s="4">
        <f t="shared" si="1"/>
        <v>0</v>
      </c>
    </row>
    <row r="58" spans="1:27" s="5" customFormat="1" ht="33.950000000000003" customHeight="1" x14ac:dyDescent="0.3">
      <c r="A58" s="8"/>
      <c r="B58" s="50">
        <v>46142</v>
      </c>
      <c r="C58" s="11"/>
      <c r="D58" s="11"/>
      <c r="E58" s="11"/>
      <c r="F58" s="11"/>
      <c r="G58" s="11"/>
      <c r="H58" s="11"/>
      <c r="I58" s="11"/>
      <c r="J58" s="11"/>
      <c r="K58" s="13"/>
      <c r="L58" s="13"/>
      <c r="M58" s="13"/>
      <c r="N58" s="85"/>
      <c r="O58" s="11"/>
      <c r="P58" s="79">
        <f t="shared" si="3"/>
        <v>0</v>
      </c>
      <c r="Q58" s="11"/>
      <c r="R58" s="11"/>
      <c r="S58" s="89"/>
      <c r="T58" s="11"/>
      <c r="U58" s="11"/>
      <c r="V58" s="11"/>
      <c r="W58" s="14">
        <f t="shared" si="2"/>
        <v>0</v>
      </c>
      <c r="X58" s="54">
        <f t="shared" si="0"/>
        <v>0</v>
      </c>
      <c r="Y58" s="59"/>
      <c r="Z58" s="59"/>
      <c r="AA58" s="4">
        <f t="shared" si="1"/>
        <v>0</v>
      </c>
    </row>
    <row r="59" spans="1:27" s="5" customFormat="1" ht="33.950000000000003" customHeight="1" x14ac:dyDescent="0.3">
      <c r="A59" s="8" t="s">
        <v>47</v>
      </c>
      <c r="B59" s="50">
        <v>46145</v>
      </c>
      <c r="C59" s="11"/>
      <c r="D59" s="11"/>
      <c r="E59" s="11"/>
      <c r="F59" s="11"/>
      <c r="G59" s="11"/>
      <c r="H59" s="11"/>
      <c r="I59" s="11"/>
      <c r="J59" s="11"/>
      <c r="K59" s="13"/>
      <c r="L59" s="13"/>
      <c r="M59" s="13"/>
      <c r="N59" s="85"/>
      <c r="O59" s="11"/>
      <c r="P59" s="79">
        <f t="shared" si="3"/>
        <v>0</v>
      </c>
      <c r="Q59" s="11"/>
      <c r="R59" s="11"/>
      <c r="S59" s="89"/>
      <c r="T59" s="11"/>
      <c r="U59" s="11"/>
      <c r="V59" s="11"/>
      <c r="W59" s="14">
        <f t="shared" si="2"/>
        <v>0</v>
      </c>
      <c r="X59" s="54">
        <f t="shared" si="0"/>
        <v>0</v>
      </c>
      <c r="Y59" s="59"/>
      <c r="Z59" s="59"/>
      <c r="AA59" s="4">
        <f t="shared" si="1"/>
        <v>0</v>
      </c>
    </row>
    <row r="60" spans="1:27" s="5" customFormat="1" ht="33.950000000000003" customHeight="1" x14ac:dyDescent="0.3">
      <c r="A60" s="8"/>
      <c r="B60" s="50">
        <v>46146</v>
      </c>
      <c r="C60" s="11"/>
      <c r="D60" s="11"/>
      <c r="E60" s="11"/>
      <c r="F60" s="11"/>
      <c r="G60" s="11"/>
      <c r="H60" s="11"/>
      <c r="I60" s="11"/>
      <c r="J60" s="11"/>
      <c r="K60" s="13"/>
      <c r="L60" s="13"/>
      <c r="M60" s="13"/>
      <c r="N60" s="85"/>
      <c r="O60" s="11"/>
      <c r="P60" s="79">
        <f t="shared" si="3"/>
        <v>0</v>
      </c>
      <c r="Q60" s="11"/>
      <c r="R60" s="11"/>
      <c r="S60" s="89"/>
      <c r="T60" s="11"/>
      <c r="U60" s="11"/>
      <c r="V60" s="11"/>
      <c r="W60" s="14">
        <f t="shared" si="2"/>
        <v>0</v>
      </c>
      <c r="X60" s="54">
        <f t="shared" si="0"/>
        <v>0</v>
      </c>
      <c r="Y60" s="59"/>
      <c r="Z60" s="59"/>
      <c r="AA60" s="4">
        <f t="shared" si="1"/>
        <v>0</v>
      </c>
    </row>
    <row r="61" spans="1:27" s="5" customFormat="1" ht="33.950000000000003" customHeight="1" x14ac:dyDescent="0.3">
      <c r="A61" s="8"/>
      <c r="B61" s="50">
        <v>46147</v>
      </c>
      <c r="C61" s="11"/>
      <c r="D61" s="11"/>
      <c r="E61" s="11"/>
      <c r="F61" s="11"/>
      <c r="G61" s="11"/>
      <c r="H61" s="11"/>
      <c r="I61" s="11"/>
      <c r="J61" s="11"/>
      <c r="K61" s="13"/>
      <c r="L61" s="13"/>
      <c r="M61" s="13"/>
      <c r="N61" s="85"/>
      <c r="O61" s="11"/>
      <c r="P61" s="79">
        <f t="shared" si="3"/>
        <v>0</v>
      </c>
      <c r="Q61" s="11"/>
      <c r="R61" s="11"/>
      <c r="S61" s="89"/>
      <c r="T61" s="11"/>
      <c r="U61" s="11"/>
      <c r="V61" s="11"/>
      <c r="W61" s="14">
        <f t="shared" si="2"/>
        <v>0</v>
      </c>
      <c r="X61" s="54">
        <f t="shared" si="0"/>
        <v>0</v>
      </c>
      <c r="Y61" s="59"/>
      <c r="Z61" s="59"/>
      <c r="AA61" s="4">
        <f t="shared" si="1"/>
        <v>0</v>
      </c>
    </row>
    <row r="62" spans="1:27" s="5" customFormat="1" ht="33.950000000000003" customHeight="1" x14ac:dyDescent="0.3">
      <c r="A62" s="8" t="s">
        <v>44</v>
      </c>
      <c r="B62" s="50">
        <v>46148</v>
      </c>
      <c r="C62" s="11"/>
      <c r="D62" s="11"/>
      <c r="E62" s="11"/>
      <c r="F62" s="11"/>
      <c r="G62" s="11"/>
      <c r="H62" s="11"/>
      <c r="I62" s="11"/>
      <c r="J62" s="11"/>
      <c r="K62" s="13"/>
      <c r="L62" s="13"/>
      <c r="M62" s="13"/>
      <c r="N62" s="85"/>
      <c r="O62" s="11"/>
      <c r="P62" s="79">
        <f t="shared" si="3"/>
        <v>0</v>
      </c>
      <c r="Q62" s="11"/>
      <c r="R62" s="11"/>
      <c r="S62" s="89"/>
      <c r="T62" s="11"/>
      <c r="U62" s="11"/>
      <c r="V62" s="11"/>
      <c r="W62" s="14">
        <f t="shared" si="2"/>
        <v>0</v>
      </c>
      <c r="X62" s="54">
        <f t="shared" si="0"/>
        <v>0</v>
      </c>
      <c r="Y62" s="59"/>
      <c r="Z62" s="59"/>
      <c r="AA62" s="4">
        <f t="shared" si="1"/>
        <v>0</v>
      </c>
    </row>
    <row r="63" spans="1:27" s="5" customFormat="1" ht="33.950000000000003" customHeight="1" x14ac:dyDescent="0.3">
      <c r="A63" s="8" t="s">
        <v>45</v>
      </c>
      <c r="B63" s="50">
        <v>46149</v>
      </c>
      <c r="C63" s="11"/>
      <c r="D63" s="11"/>
      <c r="E63" s="11"/>
      <c r="F63" s="11"/>
      <c r="G63" s="11"/>
      <c r="H63" s="11"/>
      <c r="I63" s="11"/>
      <c r="J63" s="11"/>
      <c r="K63" s="13"/>
      <c r="L63" s="13"/>
      <c r="M63" s="13"/>
      <c r="N63" s="85"/>
      <c r="O63" s="11"/>
      <c r="P63" s="79">
        <f t="shared" si="3"/>
        <v>0</v>
      </c>
      <c r="Q63" s="11"/>
      <c r="R63" s="11"/>
      <c r="S63" s="89"/>
      <c r="T63" s="11"/>
      <c r="U63" s="11"/>
      <c r="V63" s="11"/>
      <c r="W63" s="14">
        <f t="shared" si="2"/>
        <v>0</v>
      </c>
      <c r="X63" s="54">
        <f t="shared" si="0"/>
        <v>0</v>
      </c>
      <c r="Y63" s="59"/>
      <c r="Z63" s="59"/>
      <c r="AA63" s="4">
        <f t="shared" si="1"/>
        <v>0</v>
      </c>
    </row>
    <row r="64" spans="1:27" s="5" customFormat="1" ht="33.950000000000003" customHeight="1" x14ac:dyDescent="0.3">
      <c r="A64" s="8" t="s">
        <v>39</v>
      </c>
      <c r="B64" s="50">
        <v>46151</v>
      </c>
      <c r="C64" s="11"/>
      <c r="D64" s="11"/>
      <c r="E64" s="11"/>
      <c r="F64" s="11"/>
      <c r="G64" s="11"/>
      <c r="H64" s="11"/>
      <c r="I64" s="11"/>
      <c r="J64" s="11"/>
      <c r="K64" s="13"/>
      <c r="L64" s="13"/>
      <c r="M64" s="13"/>
      <c r="N64" s="85"/>
      <c r="O64" s="11"/>
      <c r="P64" s="79">
        <f t="shared" si="3"/>
        <v>0</v>
      </c>
      <c r="Q64" s="11"/>
      <c r="R64" s="11"/>
      <c r="S64" s="89"/>
      <c r="T64" s="11"/>
      <c r="U64" s="11"/>
      <c r="V64" s="11"/>
      <c r="W64" s="14">
        <f t="shared" si="2"/>
        <v>0</v>
      </c>
      <c r="X64" s="54">
        <f t="shared" si="0"/>
        <v>0</v>
      </c>
      <c r="Y64" s="59"/>
      <c r="Z64" s="59"/>
      <c r="AA64" s="4">
        <f t="shared" si="1"/>
        <v>0</v>
      </c>
    </row>
    <row r="65" spans="1:27" s="5" customFormat="1" ht="33.950000000000003" customHeight="1" x14ac:dyDescent="0.3">
      <c r="A65" s="8" t="s">
        <v>47</v>
      </c>
      <c r="B65" s="50">
        <v>46152</v>
      </c>
      <c r="C65" s="11"/>
      <c r="D65" s="11"/>
      <c r="E65" s="11"/>
      <c r="F65" s="11"/>
      <c r="G65" s="11"/>
      <c r="H65" s="11"/>
      <c r="I65" s="11"/>
      <c r="J65" s="11"/>
      <c r="K65" s="13"/>
      <c r="L65" s="13"/>
      <c r="M65" s="13"/>
      <c r="N65" s="85"/>
      <c r="O65" s="11"/>
      <c r="P65" s="79">
        <f t="shared" si="3"/>
        <v>0</v>
      </c>
      <c r="Q65" s="11"/>
      <c r="R65" s="11"/>
      <c r="S65" s="89"/>
      <c r="T65" s="11"/>
      <c r="U65" s="11"/>
      <c r="V65" s="11"/>
      <c r="W65" s="14">
        <f t="shared" si="2"/>
        <v>0</v>
      </c>
      <c r="X65" s="54">
        <f t="shared" si="0"/>
        <v>0</v>
      </c>
      <c r="Y65" s="59"/>
      <c r="Z65" s="59"/>
      <c r="AA65" s="4">
        <f t="shared" si="1"/>
        <v>0</v>
      </c>
    </row>
    <row r="66" spans="1:27" s="5" customFormat="1" ht="33.950000000000003" customHeight="1" x14ac:dyDescent="0.3">
      <c r="A66" s="8" t="s">
        <v>41</v>
      </c>
      <c r="B66" s="50">
        <v>46153</v>
      </c>
      <c r="C66" s="11"/>
      <c r="D66" s="11"/>
      <c r="E66" s="11"/>
      <c r="F66" s="11"/>
      <c r="G66" s="11"/>
      <c r="H66" s="11"/>
      <c r="I66" s="11"/>
      <c r="J66" s="11"/>
      <c r="K66" s="13"/>
      <c r="L66" s="13"/>
      <c r="M66" s="13"/>
      <c r="N66" s="85"/>
      <c r="O66" s="11"/>
      <c r="P66" s="79">
        <f t="shared" si="3"/>
        <v>0</v>
      </c>
      <c r="Q66" s="11"/>
      <c r="R66" s="11"/>
      <c r="S66" s="89"/>
      <c r="T66" s="11"/>
      <c r="U66" s="11"/>
      <c r="V66" s="11"/>
      <c r="W66" s="14">
        <f t="shared" si="2"/>
        <v>0</v>
      </c>
      <c r="X66" s="54">
        <f t="shared" si="0"/>
        <v>0</v>
      </c>
      <c r="Y66" s="59"/>
      <c r="Z66" s="59"/>
      <c r="AA66" s="4">
        <f t="shared" si="1"/>
        <v>0</v>
      </c>
    </row>
    <row r="67" spans="1:27" s="5" customFormat="1" ht="33.950000000000003" customHeight="1" x14ac:dyDescent="0.3">
      <c r="A67" s="8" t="s">
        <v>38</v>
      </c>
      <c r="B67" s="50">
        <v>46154</v>
      </c>
      <c r="C67" s="11"/>
      <c r="D67" s="11"/>
      <c r="E67" s="11"/>
      <c r="F67" s="11"/>
      <c r="G67" s="11"/>
      <c r="H67" s="11"/>
      <c r="I67" s="11"/>
      <c r="J67" s="11"/>
      <c r="K67" s="13"/>
      <c r="L67" s="13"/>
      <c r="M67" s="13"/>
      <c r="N67" s="85"/>
      <c r="O67" s="11"/>
      <c r="P67" s="79">
        <f t="shared" si="3"/>
        <v>0</v>
      </c>
      <c r="Q67" s="11"/>
      <c r="R67" s="11"/>
      <c r="S67" s="89"/>
      <c r="T67" s="11"/>
      <c r="U67" s="11"/>
      <c r="V67" s="11"/>
      <c r="W67" s="14">
        <f t="shared" si="2"/>
        <v>0</v>
      </c>
      <c r="X67" s="54">
        <f t="shared" si="0"/>
        <v>0</v>
      </c>
      <c r="Y67" s="59"/>
      <c r="Z67" s="59"/>
      <c r="AA67" s="4">
        <f t="shared" si="1"/>
        <v>0</v>
      </c>
    </row>
    <row r="68" spans="1:27" s="5" customFormat="1" ht="33.950000000000003" customHeight="1" x14ac:dyDescent="0.3">
      <c r="A68" s="8" t="s">
        <v>44</v>
      </c>
      <c r="B68" s="50">
        <v>46155</v>
      </c>
      <c r="C68" s="11"/>
      <c r="D68" s="11"/>
      <c r="E68" s="11"/>
      <c r="F68" s="11"/>
      <c r="G68" s="11"/>
      <c r="H68" s="11"/>
      <c r="I68" s="11"/>
      <c r="J68" s="11"/>
      <c r="K68" s="13"/>
      <c r="L68" s="13"/>
      <c r="M68" s="13"/>
      <c r="N68" s="85"/>
      <c r="O68" s="11"/>
      <c r="P68" s="79">
        <f t="shared" si="3"/>
        <v>0</v>
      </c>
      <c r="Q68" s="11"/>
      <c r="R68" s="11"/>
      <c r="S68" s="89"/>
      <c r="T68" s="11"/>
      <c r="U68" s="11"/>
      <c r="V68" s="11"/>
      <c r="W68" s="14">
        <f t="shared" si="2"/>
        <v>0</v>
      </c>
      <c r="X68" s="54">
        <f t="shared" si="0"/>
        <v>0</v>
      </c>
      <c r="Y68" s="59"/>
      <c r="Z68" s="59"/>
      <c r="AA68" s="4">
        <f t="shared" si="1"/>
        <v>0</v>
      </c>
    </row>
    <row r="69" spans="1:27" s="5" customFormat="1" ht="33.950000000000003" customHeight="1" x14ac:dyDescent="0.3">
      <c r="A69" s="8" t="s">
        <v>45</v>
      </c>
      <c r="B69" s="50">
        <v>46156</v>
      </c>
      <c r="C69" s="11"/>
      <c r="D69" s="11"/>
      <c r="E69" s="11"/>
      <c r="F69" s="11"/>
      <c r="G69" s="11"/>
      <c r="H69" s="11"/>
      <c r="I69" s="11"/>
      <c r="J69" s="11"/>
      <c r="K69" s="13"/>
      <c r="L69" s="13"/>
      <c r="M69" s="13"/>
      <c r="N69" s="85"/>
      <c r="O69" s="11"/>
      <c r="P69" s="79">
        <f t="shared" si="3"/>
        <v>0</v>
      </c>
      <c r="Q69" s="11"/>
      <c r="R69" s="11"/>
      <c r="S69" s="89"/>
      <c r="T69" s="11"/>
      <c r="U69" s="11"/>
      <c r="V69" s="11"/>
      <c r="W69" s="14">
        <f t="shared" si="2"/>
        <v>0</v>
      </c>
      <c r="X69" s="54">
        <f t="shared" si="0"/>
        <v>0</v>
      </c>
      <c r="Y69" s="59"/>
      <c r="Z69" s="59"/>
      <c r="AA69" s="4">
        <f t="shared" ref="AA69:AA108" si="4">AA68+F69+L69-S69-Y68-Z68</f>
        <v>0</v>
      </c>
    </row>
    <row r="70" spans="1:27" s="5" customFormat="1" ht="33.950000000000003" customHeight="1" x14ac:dyDescent="0.3">
      <c r="A70" s="8" t="s">
        <v>39</v>
      </c>
      <c r="B70" s="50">
        <v>46158</v>
      </c>
      <c r="C70" s="11"/>
      <c r="D70" s="11"/>
      <c r="E70" s="11"/>
      <c r="F70" s="11"/>
      <c r="G70" s="11"/>
      <c r="H70" s="11"/>
      <c r="I70" s="11"/>
      <c r="J70" s="11"/>
      <c r="K70" s="13"/>
      <c r="L70" s="13"/>
      <c r="M70" s="13"/>
      <c r="N70" s="85"/>
      <c r="O70" s="11"/>
      <c r="P70" s="79">
        <f t="shared" si="3"/>
        <v>0</v>
      </c>
      <c r="Q70" s="11"/>
      <c r="R70" s="11"/>
      <c r="S70" s="89"/>
      <c r="T70" s="11"/>
      <c r="U70" s="11"/>
      <c r="V70" s="11"/>
      <c r="W70" s="14">
        <f t="shared" ref="W70:W108" si="5">R70+T70+U70+V70+W69</f>
        <v>0</v>
      </c>
      <c r="X70" s="54">
        <f t="shared" si="0"/>
        <v>0</v>
      </c>
      <c r="Y70" s="59"/>
      <c r="Z70" s="59"/>
      <c r="AA70" s="4">
        <f t="shared" si="4"/>
        <v>0</v>
      </c>
    </row>
    <row r="71" spans="1:27" s="5" customFormat="1" ht="33.950000000000003" customHeight="1" x14ac:dyDescent="0.3">
      <c r="A71" s="8" t="s">
        <v>47</v>
      </c>
      <c r="B71" s="50">
        <v>46159</v>
      </c>
      <c r="C71" s="11"/>
      <c r="D71" s="11"/>
      <c r="E71" s="11"/>
      <c r="F71" s="11"/>
      <c r="G71" s="11"/>
      <c r="H71" s="11"/>
      <c r="I71" s="11"/>
      <c r="J71" s="11"/>
      <c r="K71" s="13"/>
      <c r="L71" s="13"/>
      <c r="M71" s="13"/>
      <c r="N71" s="85"/>
      <c r="O71" s="11"/>
      <c r="P71" s="79">
        <f t="shared" ref="P71:P108" si="6">I71+K71+M71+N71+O71+P70</f>
        <v>0</v>
      </c>
      <c r="Q71" s="11"/>
      <c r="R71" s="11"/>
      <c r="S71" s="89"/>
      <c r="T71" s="11"/>
      <c r="U71" s="11"/>
      <c r="V71" s="11"/>
      <c r="W71" s="14">
        <f t="shared" si="5"/>
        <v>0</v>
      </c>
      <c r="X71" s="54">
        <f t="shared" si="0"/>
        <v>0</v>
      </c>
      <c r="Y71" s="59"/>
      <c r="Z71" s="59"/>
      <c r="AA71" s="4">
        <f t="shared" si="4"/>
        <v>0</v>
      </c>
    </row>
    <row r="72" spans="1:27" s="5" customFormat="1" ht="33.950000000000003" customHeight="1" x14ac:dyDescent="0.3">
      <c r="A72" s="8" t="s">
        <v>41</v>
      </c>
      <c r="B72" s="50">
        <v>46160</v>
      </c>
      <c r="C72" s="11"/>
      <c r="D72" s="11"/>
      <c r="E72" s="11"/>
      <c r="F72" s="11"/>
      <c r="G72" s="11"/>
      <c r="H72" s="11"/>
      <c r="I72" s="11"/>
      <c r="J72" s="11"/>
      <c r="K72" s="13"/>
      <c r="L72" s="13"/>
      <c r="M72" s="13"/>
      <c r="N72" s="85"/>
      <c r="O72" s="11"/>
      <c r="P72" s="79">
        <f t="shared" si="6"/>
        <v>0</v>
      </c>
      <c r="Q72" s="11"/>
      <c r="R72" s="11"/>
      <c r="S72" s="89"/>
      <c r="T72" s="11"/>
      <c r="U72" s="11"/>
      <c r="V72" s="11"/>
      <c r="W72" s="14">
        <f t="shared" si="5"/>
        <v>0</v>
      </c>
      <c r="X72" s="54">
        <f t="shared" si="0"/>
        <v>0</v>
      </c>
      <c r="Y72" s="59"/>
      <c r="Z72" s="59"/>
      <c r="AA72" s="4">
        <f t="shared" si="4"/>
        <v>0</v>
      </c>
    </row>
    <row r="73" spans="1:27" s="5" customFormat="1" ht="33.950000000000003" customHeight="1" x14ac:dyDescent="0.3">
      <c r="A73" s="8"/>
      <c r="B73" s="50">
        <v>46161</v>
      </c>
      <c r="C73" s="11"/>
      <c r="D73" s="11"/>
      <c r="E73" s="11"/>
      <c r="F73" s="11"/>
      <c r="G73" s="11"/>
      <c r="H73" s="11"/>
      <c r="I73" s="11"/>
      <c r="J73" s="11"/>
      <c r="K73" s="13"/>
      <c r="L73" s="13"/>
      <c r="M73" s="13"/>
      <c r="N73" s="85"/>
      <c r="O73" s="11"/>
      <c r="P73" s="79">
        <f t="shared" si="6"/>
        <v>0</v>
      </c>
      <c r="Q73" s="11"/>
      <c r="R73" s="11"/>
      <c r="S73" s="89"/>
      <c r="T73" s="11"/>
      <c r="U73" s="11"/>
      <c r="V73" s="11"/>
      <c r="W73" s="14">
        <f t="shared" si="5"/>
        <v>0</v>
      </c>
      <c r="X73" s="54">
        <f t="shared" si="0"/>
        <v>0</v>
      </c>
      <c r="Y73" s="59"/>
      <c r="Z73" s="59"/>
      <c r="AA73" s="4">
        <f>AA72+F73+L73-S73-Y72-Z72</f>
        <v>0</v>
      </c>
    </row>
    <row r="74" spans="1:27" s="5" customFormat="1" ht="33.950000000000003" customHeight="1" x14ac:dyDescent="0.3">
      <c r="A74" s="8" t="s">
        <v>44</v>
      </c>
      <c r="B74" s="50">
        <v>46162</v>
      </c>
      <c r="C74" s="11"/>
      <c r="D74" s="11"/>
      <c r="E74" s="11"/>
      <c r="F74" s="11"/>
      <c r="G74" s="11"/>
      <c r="H74" s="11"/>
      <c r="I74" s="11"/>
      <c r="J74" s="11"/>
      <c r="K74" s="13"/>
      <c r="L74" s="13"/>
      <c r="M74" s="13"/>
      <c r="N74" s="85"/>
      <c r="O74" s="11"/>
      <c r="P74" s="79">
        <f t="shared" si="6"/>
        <v>0</v>
      </c>
      <c r="Q74" s="11"/>
      <c r="R74" s="11"/>
      <c r="S74" s="89"/>
      <c r="T74" s="11"/>
      <c r="U74" s="11"/>
      <c r="V74" s="11"/>
      <c r="W74" s="14">
        <f t="shared" si="5"/>
        <v>0</v>
      </c>
      <c r="X74" s="54">
        <f t="shared" si="0"/>
        <v>0</v>
      </c>
      <c r="Y74" s="59"/>
      <c r="Z74" s="59"/>
      <c r="AA74" s="4">
        <f t="shared" si="4"/>
        <v>0</v>
      </c>
    </row>
    <row r="75" spans="1:27" s="5" customFormat="1" ht="33.950000000000003" customHeight="1" x14ac:dyDescent="0.3">
      <c r="A75" s="8" t="s">
        <v>45</v>
      </c>
      <c r="B75" s="50">
        <v>46163</v>
      </c>
      <c r="C75" s="11"/>
      <c r="D75" s="11"/>
      <c r="E75" s="11"/>
      <c r="F75" s="11"/>
      <c r="G75" s="11"/>
      <c r="H75" s="11"/>
      <c r="I75" s="11"/>
      <c r="J75" s="11"/>
      <c r="K75" s="13"/>
      <c r="L75" s="13"/>
      <c r="M75" s="13"/>
      <c r="N75" s="85"/>
      <c r="O75" s="11"/>
      <c r="P75" s="79">
        <f>I75+K75+M75+N75+O75+P74</f>
        <v>0</v>
      </c>
      <c r="Q75" s="11"/>
      <c r="R75" s="11"/>
      <c r="S75" s="89"/>
      <c r="T75" s="11"/>
      <c r="U75" s="11"/>
      <c r="V75" s="11"/>
      <c r="W75" s="14">
        <f t="shared" si="5"/>
        <v>0</v>
      </c>
      <c r="X75" s="54">
        <f t="shared" si="0"/>
        <v>0</v>
      </c>
      <c r="Y75" s="59"/>
      <c r="Z75" s="59"/>
      <c r="AA75" s="4">
        <f t="shared" si="4"/>
        <v>0</v>
      </c>
    </row>
    <row r="76" spans="1:27" s="5" customFormat="1" ht="33.950000000000003" customHeight="1" x14ac:dyDescent="0.3">
      <c r="A76" s="8" t="s">
        <v>39</v>
      </c>
      <c r="B76" s="50">
        <v>46165</v>
      </c>
      <c r="C76" s="11"/>
      <c r="D76" s="11"/>
      <c r="E76" s="11"/>
      <c r="F76" s="11"/>
      <c r="G76" s="11"/>
      <c r="H76" s="11"/>
      <c r="I76" s="11">
        <v>0</v>
      </c>
      <c r="J76" s="46"/>
      <c r="K76" s="13"/>
      <c r="L76" s="13"/>
      <c r="M76" s="13"/>
      <c r="N76" s="85"/>
      <c r="O76" s="11"/>
      <c r="P76" s="79">
        <f t="shared" si="6"/>
        <v>0</v>
      </c>
      <c r="Q76" s="11"/>
      <c r="R76" s="11"/>
      <c r="S76" s="89"/>
      <c r="T76" s="11"/>
      <c r="U76" s="11"/>
      <c r="V76" s="11"/>
      <c r="W76" s="14">
        <f t="shared" si="5"/>
        <v>0</v>
      </c>
      <c r="X76" s="54">
        <f t="shared" si="0"/>
        <v>0</v>
      </c>
      <c r="Y76" s="59"/>
      <c r="Z76" s="59"/>
      <c r="AA76" s="4">
        <f t="shared" si="4"/>
        <v>0</v>
      </c>
    </row>
    <row r="77" spans="1:27" s="5" customFormat="1" ht="33.950000000000003" customHeight="1" x14ac:dyDescent="0.3">
      <c r="A77" s="8" t="s">
        <v>41</v>
      </c>
      <c r="B77" s="50">
        <v>46167</v>
      </c>
      <c r="C77" s="11"/>
      <c r="D77" s="11"/>
      <c r="E77" s="11"/>
      <c r="F77" s="11"/>
      <c r="G77" s="11"/>
      <c r="H77" s="11"/>
      <c r="I77" s="11"/>
      <c r="J77" s="11"/>
      <c r="K77" s="13"/>
      <c r="L77" s="13"/>
      <c r="M77" s="13"/>
      <c r="N77" s="85"/>
      <c r="O77" s="11"/>
      <c r="P77" s="79">
        <f t="shared" si="6"/>
        <v>0</v>
      </c>
      <c r="Q77" s="11"/>
      <c r="R77" s="11"/>
      <c r="S77" s="89"/>
      <c r="T77" s="11"/>
      <c r="U77" s="11"/>
      <c r="V77" s="11"/>
      <c r="W77" s="14">
        <f t="shared" si="5"/>
        <v>0</v>
      </c>
      <c r="X77" s="54">
        <f t="shared" si="0"/>
        <v>0</v>
      </c>
      <c r="Y77" s="59"/>
      <c r="Z77" s="59"/>
      <c r="AA77" s="4">
        <f t="shared" si="4"/>
        <v>0</v>
      </c>
    </row>
    <row r="78" spans="1:27" s="5" customFormat="1" ht="33.950000000000003" customHeight="1" x14ac:dyDescent="0.3">
      <c r="A78" s="8"/>
      <c r="B78" s="50">
        <v>46168</v>
      </c>
      <c r="C78" s="11"/>
      <c r="D78" s="11"/>
      <c r="E78" s="11"/>
      <c r="F78" s="11"/>
      <c r="G78" s="11"/>
      <c r="H78" s="11"/>
      <c r="I78" s="11"/>
      <c r="J78" s="11"/>
      <c r="K78" s="13"/>
      <c r="L78" s="13"/>
      <c r="M78" s="13"/>
      <c r="N78" s="85"/>
      <c r="O78" s="11"/>
      <c r="P78" s="79">
        <f t="shared" si="6"/>
        <v>0</v>
      </c>
      <c r="Q78" s="11"/>
      <c r="R78" s="11"/>
      <c r="S78" s="89"/>
      <c r="T78" s="11"/>
      <c r="U78" s="11"/>
      <c r="V78" s="11"/>
      <c r="W78" s="14">
        <f t="shared" si="5"/>
        <v>0</v>
      </c>
      <c r="X78" s="54">
        <f t="shared" si="0"/>
        <v>0</v>
      </c>
      <c r="Y78" s="59"/>
      <c r="Z78" s="59"/>
      <c r="AA78" s="4">
        <f t="shared" si="4"/>
        <v>0</v>
      </c>
    </row>
    <row r="79" spans="1:27" s="5" customFormat="1" ht="33.950000000000003" customHeight="1" x14ac:dyDescent="0.3">
      <c r="A79" s="8"/>
      <c r="B79" s="50">
        <v>46172</v>
      </c>
      <c r="C79" s="11"/>
      <c r="D79" s="11"/>
      <c r="E79" s="11"/>
      <c r="F79" s="11"/>
      <c r="G79" s="11"/>
      <c r="H79" s="11"/>
      <c r="I79" s="11"/>
      <c r="J79" s="11"/>
      <c r="K79" s="13"/>
      <c r="L79" s="13"/>
      <c r="M79" s="13"/>
      <c r="N79" s="85"/>
      <c r="O79" s="11"/>
      <c r="P79" s="79">
        <f t="shared" si="6"/>
        <v>0</v>
      </c>
      <c r="Q79" s="11"/>
      <c r="R79" s="11"/>
      <c r="S79" s="89"/>
      <c r="T79" s="11"/>
      <c r="U79" s="11"/>
      <c r="V79" s="11"/>
      <c r="W79" s="14">
        <f t="shared" si="5"/>
        <v>0</v>
      </c>
      <c r="X79" s="54">
        <f t="shared" si="0"/>
        <v>0</v>
      </c>
      <c r="Y79" s="59"/>
      <c r="Z79" s="59"/>
      <c r="AA79" s="4">
        <f t="shared" si="4"/>
        <v>0</v>
      </c>
    </row>
    <row r="80" spans="1:27" s="5" customFormat="1" ht="33.950000000000003" customHeight="1" x14ac:dyDescent="0.3">
      <c r="A80" s="8"/>
      <c r="B80" s="50">
        <v>46174</v>
      </c>
      <c r="C80" s="11"/>
      <c r="D80" s="11"/>
      <c r="E80" s="11"/>
      <c r="F80" s="11"/>
      <c r="G80" s="11"/>
      <c r="H80" s="11"/>
      <c r="I80" s="11"/>
      <c r="J80" s="11"/>
      <c r="K80" s="13"/>
      <c r="L80" s="49"/>
      <c r="M80" s="49"/>
      <c r="N80" s="85"/>
      <c r="O80" s="11"/>
      <c r="P80" s="79">
        <f t="shared" si="6"/>
        <v>0</v>
      </c>
      <c r="Q80" s="11"/>
      <c r="R80" s="11"/>
      <c r="S80" s="89"/>
      <c r="T80" s="11"/>
      <c r="U80" s="11"/>
      <c r="V80" s="11"/>
      <c r="W80" s="14">
        <f t="shared" si="5"/>
        <v>0</v>
      </c>
      <c r="X80" s="54">
        <f t="shared" si="0"/>
        <v>0</v>
      </c>
      <c r="Y80" s="59"/>
      <c r="Z80" s="59"/>
      <c r="AA80" s="4">
        <f t="shared" si="4"/>
        <v>0</v>
      </c>
    </row>
    <row r="81" spans="1:27" s="5" customFormat="1" ht="33.950000000000003" customHeight="1" x14ac:dyDescent="0.3">
      <c r="A81" s="8"/>
      <c r="B81" s="50">
        <v>46176</v>
      </c>
      <c r="C81" s="11"/>
      <c r="D81" s="11"/>
      <c r="E81" s="11"/>
      <c r="F81" s="11"/>
      <c r="G81" s="11"/>
      <c r="H81" s="11"/>
      <c r="I81" s="11"/>
      <c r="J81" s="11"/>
      <c r="K81" s="13"/>
      <c r="L81" s="49"/>
      <c r="M81" s="49"/>
      <c r="N81" s="85"/>
      <c r="O81" s="11"/>
      <c r="P81" s="79">
        <f t="shared" si="6"/>
        <v>0</v>
      </c>
      <c r="Q81" s="11"/>
      <c r="R81" s="11"/>
      <c r="S81" s="89"/>
      <c r="T81" s="11"/>
      <c r="U81" s="11"/>
      <c r="V81" s="11"/>
      <c r="W81" s="14">
        <f t="shared" si="5"/>
        <v>0</v>
      </c>
      <c r="X81" s="54">
        <f t="shared" si="0"/>
        <v>0</v>
      </c>
      <c r="Y81" s="59"/>
      <c r="Z81" s="59"/>
      <c r="AA81" s="4">
        <f t="shared" si="4"/>
        <v>0</v>
      </c>
    </row>
    <row r="82" spans="1:27" s="5" customFormat="1" ht="33.950000000000003" customHeight="1" x14ac:dyDescent="0.3">
      <c r="A82" s="8"/>
      <c r="B82" s="50">
        <v>46182</v>
      </c>
      <c r="C82" s="11"/>
      <c r="D82" s="11"/>
      <c r="E82" s="11"/>
      <c r="F82" s="11"/>
      <c r="G82" s="11"/>
      <c r="H82" s="11"/>
      <c r="I82" s="11"/>
      <c r="J82" s="11"/>
      <c r="K82" s="13"/>
      <c r="L82" s="13"/>
      <c r="M82" s="13"/>
      <c r="N82" s="85"/>
      <c r="O82" s="11"/>
      <c r="P82" s="79">
        <f t="shared" si="6"/>
        <v>0</v>
      </c>
      <c r="Q82" s="11"/>
      <c r="R82" s="11"/>
      <c r="S82" s="89"/>
      <c r="T82" s="11"/>
      <c r="U82" s="11"/>
      <c r="V82" s="11"/>
      <c r="W82" s="14">
        <f t="shared" si="5"/>
        <v>0</v>
      </c>
      <c r="X82" s="54">
        <f t="shared" si="0"/>
        <v>0</v>
      </c>
      <c r="Y82" s="59"/>
      <c r="Z82" s="59"/>
      <c r="AA82" s="4">
        <f t="shared" si="4"/>
        <v>0</v>
      </c>
    </row>
    <row r="83" spans="1:27" s="5" customFormat="1" ht="33.950000000000003" customHeight="1" x14ac:dyDescent="0.3">
      <c r="A83" s="8"/>
      <c r="B83" s="50">
        <v>46184</v>
      </c>
      <c r="C83" s="11"/>
      <c r="D83" s="11"/>
      <c r="E83" s="11"/>
      <c r="F83" s="11"/>
      <c r="G83" s="11"/>
      <c r="H83" s="11"/>
      <c r="I83" s="11"/>
      <c r="J83" s="11"/>
      <c r="K83" s="13"/>
      <c r="L83" s="13"/>
      <c r="M83" s="13"/>
      <c r="N83" s="85"/>
      <c r="O83" s="11"/>
      <c r="P83" s="79">
        <f t="shared" si="6"/>
        <v>0</v>
      </c>
      <c r="Q83" s="11"/>
      <c r="R83" s="11"/>
      <c r="S83" s="89"/>
      <c r="T83" s="11"/>
      <c r="U83" s="11"/>
      <c r="V83" s="11"/>
      <c r="W83" s="14">
        <f t="shared" si="5"/>
        <v>0</v>
      </c>
      <c r="X83" s="54">
        <f t="shared" ref="X83:X108" si="7">W83-P83</f>
        <v>0</v>
      </c>
      <c r="Y83" s="59"/>
      <c r="Z83" s="59"/>
      <c r="AA83" s="4">
        <f t="shared" si="4"/>
        <v>0</v>
      </c>
    </row>
    <row r="84" spans="1:27" s="5" customFormat="1" ht="33.950000000000003" customHeight="1" x14ac:dyDescent="0.3">
      <c r="A84" s="8"/>
      <c r="B84" s="50">
        <v>46189</v>
      </c>
      <c r="C84" s="11"/>
      <c r="D84" s="11"/>
      <c r="E84" s="11"/>
      <c r="F84" s="11"/>
      <c r="G84" s="11"/>
      <c r="H84" s="11"/>
      <c r="I84" s="11"/>
      <c r="J84" s="11"/>
      <c r="K84" s="13"/>
      <c r="L84" s="13"/>
      <c r="M84" s="13"/>
      <c r="N84" s="85"/>
      <c r="O84" s="11"/>
      <c r="P84" s="79">
        <f t="shared" si="6"/>
        <v>0</v>
      </c>
      <c r="Q84" s="11"/>
      <c r="R84" s="11"/>
      <c r="S84" s="89"/>
      <c r="T84" s="11"/>
      <c r="U84" s="11"/>
      <c r="V84" s="11"/>
      <c r="W84" s="14">
        <f t="shared" si="5"/>
        <v>0</v>
      </c>
      <c r="X84" s="54">
        <f t="shared" si="7"/>
        <v>0</v>
      </c>
      <c r="Y84" s="59"/>
      <c r="Z84" s="59"/>
      <c r="AA84" s="4">
        <f t="shared" si="4"/>
        <v>0</v>
      </c>
    </row>
    <row r="85" spans="1:27" s="5" customFormat="1" ht="33.950000000000003" customHeight="1" x14ac:dyDescent="0.3">
      <c r="A85" s="8"/>
      <c r="B85" s="50">
        <v>46190</v>
      </c>
      <c r="C85" s="11"/>
      <c r="D85" s="11"/>
      <c r="E85" s="11"/>
      <c r="F85" s="11"/>
      <c r="G85" s="11"/>
      <c r="H85" s="11"/>
      <c r="I85" s="11"/>
      <c r="J85" s="11"/>
      <c r="K85" s="13"/>
      <c r="L85" s="13"/>
      <c r="M85" s="13"/>
      <c r="N85" s="85"/>
      <c r="O85" s="11"/>
      <c r="P85" s="79">
        <f t="shared" si="6"/>
        <v>0</v>
      </c>
      <c r="Q85" s="11"/>
      <c r="R85" s="11"/>
      <c r="S85" s="89"/>
      <c r="T85" s="11"/>
      <c r="U85" s="11"/>
      <c r="V85" s="11"/>
      <c r="W85" s="14">
        <f t="shared" si="5"/>
        <v>0</v>
      </c>
      <c r="X85" s="54">
        <f t="shared" si="7"/>
        <v>0</v>
      </c>
      <c r="Y85" s="59"/>
      <c r="Z85" s="59"/>
      <c r="AA85" s="4">
        <f t="shared" si="4"/>
        <v>0</v>
      </c>
    </row>
    <row r="86" spans="1:27" s="5" customFormat="1" ht="33.950000000000003" customHeight="1" x14ac:dyDescent="0.3">
      <c r="A86" s="8"/>
      <c r="B86" s="50">
        <v>46192</v>
      </c>
      <c r="C86" s="11"/>
      <c r="D86" s="11"/>
      <c r="E86" s="11"/>
      <c r="F86" s="11"/>
      <c r="G86" s="11"/>
      <c r="H86" s="11"/>
      <c r="I86" s="11"/>
      <c r="J86" s="11"/>
      <c r="K86" s="13"/>
      <c r="L86" s="13"/>
      <c r="M86" s="13"/>
      <c r="N86" s="85"/>
      <c r="O86" s="11"/>
      <c r="P86" s="79">
        <f t="shared" si="6"/>
        <v>0</v>
      </c>
      <c r="Q86" s="11"/>
      <c r="R86" s="11"/>
      <c r="S86" s="89"/>
      <c r="T86" s="11"/>
      <c r="U86" s="11"/>
      <c r="V86" s="11"/>
      <c r="W86" s="14">
        <f t="shared" si="5"/>
        <v>0</v>
      </c>
      <c r="X86" s="54">
        <f t="shared" si="7"/>
        <v>0</v>
      </c>
      <c r="Y86" s="59"/>
      <c r="Z86" s="59"/>
      <c r="AA86" s="4">
        <f t="shared" si="4"/>
        <v>0</v>
      </c>
    </row>
    <row r="87" spans="1:27" s="5" customFormat="1" ht="33.950000000000003" customHeight="1" x14ac:dyDescent="0.3">
      <c r="A87" s="8"/>
      <c r="B87" s="50">
        <v>46196</v>
      </c>
      <c r="C87" s="11"/>
      <c r="D87" s="11"/>
      <c r="E87" s="11"/>
      <c r="F87" s="11"/>
      <c r="G87" s="11"/>
      <c r="H87" s="11"/>
      <c r="I87" s="11"/>
      <c r="J87" s="11"/>
      <c r="K87" s="13"/>
      <c r="L87" s="13"/>
      <c r="M87" s="13"/>
      <c r="N87" s="85"/>
      <c r="O87" s="11"/>
      <c r="P87" s="79">
        <f t="shared" si="6"/>
        <v>0</v>
      </c>
      <c r="Q87" s="11"/>
      <c r="R87" s="11"/>
      <c r="S87" s="89"/>
      <c r="T87" s="11"/>
      <c r="U87" s="11"/>
      <c r="V87" s="11"/>
      <c r="W87" s="14">
        <f t="shared" si="5"/>
        <v>0</v>
      </c>
      <c r="X87" s="54">
        <f t="shared" si="7"/>
        <v>0</v>
      </c>
      <c r="Y87" s="59"/>
      <c r="Z87" s="59"/>
      <c r="AA87" s="4">
        <f t="shared" si="4"/>
        <v>0</v>
      </c>
    </row>
    <row r="88" spans="1:27" s="5" customFormat="1" ht="33.950000000000003" customHeight="1" x14ac:dyDescent="0.3">
      <c r="A88" s="8"/>
      <c r="B88" s="50">
        <v>46198</v>
      </c>
      <c r="C88" s="11"/>
      <c r="D88" s="11"/>
      <c r="E88" s="11"/>
      <c r="F88" s="11"/>
      <c r="G88" s="11"/>
      <c r="H88" s="11"/>
      <c r="I88" s="11"/>
      <c r="J88" s="11"/>
      <c r="K88" s="13"/>
      <c r="L88" s="13"/>
      <c r="M88" s="13"/>
      <c r="N88" s="85"/>
      <c r="O88" s="11"/>
      <c r="P88" s="79">
        <f t="shared" si="6"/>
        <v>0</v>
      </c>
      <c r="Q88" s="11"/>
      <c r="R88" s="11"/>
      <c r="S88" s="89"/>
      <c r="T88" s="11"/>
      <c r="U88" s="11"/>
      <c r="V88" s="11"/>
      <c r="W88" s="14">
        <f t="shared" si="5"/>
        <v>0</v>
      </c>
      <c r="X88" s="54">
        <f t="shared" si="7"/>
        <v>0</v>
      </c>
      <c r="Y88" s="59"/>
      <c r="Z88" s="59"/>
      <c r="AA88" s="4">
        <f t="shared" si="4"/>
        <v>0</v>
      </c>
    </row>
    <row r="89" spans="1:27" s="5" customFormat="1" ht="33.950000000000003" customHeight="1" x14ac:dyDescent="0.3">
      <c r="A89" s="8"/>
      <c r="B89" s="50">
        <v>46199</v>
      </c>
      <c r="C89" s="11"/>
      <c r="D89" s="11"/>
      <c r="E89" s="11"/>
      <c r="F89" s="11"/>
      <c r="G89" s="11"/>
      <c r="H89" s="11"/>
      <c r="I89" s="11"/>
      <c r="J89" s="11"/>
      <c r="K89" s="13"/>
      <c r="L89" s="13"/>
      <c r="M89" s="13"/>
      <c r="N89" s="85"/>
      <c r="O89" s="11"/>
      <c r="P89" s="79">
        <f t="shared" si="6"/>
        <v>0</v>
      </c>
      <c r="Q89" s="11"/>
      <c r="R89" s="11"/>
      <c r="S89" s="89"/>
      <c r="T89" s="11"/>
      <c r="U89" s="11"/>
      <c r="V89" s="11"/>
      <c r="W89" s="14">
        <f t="shared" si="5"/>
        <v>0</v>
      </c>
      <c r="X89" s="54">
        <f t="shared" si="7"/>
        <v>0</v>
      </c>
      <c r="Y89" s="59"/>
      <c r="Z89" s="59"/>
      <c r="AA89" s="4">
        <f t="shared" si="4"/>
        <v>0</v>
      </c>
    </row>
    <row r="90" spans="1:27" s="5" customFormat="1" ht="33.950000000000003" customHeight="1" x14ac:dyDescent="0.3">
      <c r="A90" s="8"/>
      <c r="B90" s="50">
        <v>46197</v>
      </c>
      <c r="C90" s="11"/>
      <c r="D90" s="11"/>
      <c r="E90" s="11"/>
      <c r="F90" s="11"/>
      <c r="G90" s="11"/>
      <c r="H90" s="11"/>
      <c r="I90" s="11"/>
      <c r="J90" s="11"/>
      <c r="K90" s="13"/>
      <c r="L90" s="13"/>
      <c r="M90" s="13"/>
      <c r="N90" s="85"/>
      <c r="O90" s="11"/>
      <c r="P90" s="79">
        <f t="shared" si="6"/>
        <v>0</v>
      </c>
      <c r="Q90" s="11"/>
      <c r="R90" s="11"/>
      <c r="S90" s="89"/>
      <c r="T90" s="11"/>
      <c r="U90" s="11"/>
      <c r="V90" s="11"/>
      <c r="W90" s="14">
        <f t="shared" si="5"/>
        <v>0</v>
      </c>
      <c r="X90" s="54">
        <f t="shared" si="7"/>
        <v>0</v>
      </c>
      <c r="Y90" s="59"/>
      <c r="Z90" s="59"/>
      <c r="AA90" s="4">
        <f t="shared" si="4"/>
        <v>0</v>
      </c>
    </row>
    <row r="91" spans="1:27" s="5" customFormat="1" ht="33.950000000000003" customHeight="1" x14ac:dyDescent="0.3">
      <c r="A91" s="8"/>
      <c r="B91" s="50">
        <v>46203</v>
      </c>
      <c r="C91" s="11"/>
      <c r="D91" s="11"/>
      <c r="E91" s="11"/>
      <c r="F91" s="11"/>
      <c r="G91" s="11"/>
      <c r="H91" s="11"/>
      <c r="I91" s="11"/>
      <c r="J91" s="11"/>
      <c r="K91" s="13"/>
      <c r="L91" s="13"/>
      <c r="M91" s="13"/>
      <c r="N91" s="85"/>
      <c r="O91" s="11"/>
      <c r="P91" s="79">
        <f t="shared" si="6"/>
        <v>0</v>
      </c>
      <c r="Q91" s="11"/>
      <c r="R91" s="11"/>
      <c r="S91" s="89"/>
      <c r="T91" s="11"/>
      <c r="U91" s="11"/>
      <c r="V91" s="11"/>
      <c r="W91" s="14">
        <f t="shared" si="5"/>
        <v>0</v>
      </c>
      <c r="X91" s="54">
        <f t="shared" si="7"/>
        <v>0</v>
      </c>
      <c r="Y91" s="59"/>
      <c r="Z91" s="59"/>
      <c r="AA91" s="4">
        <f t="shared" si="4"/>
        <v>0</v>
      </c>
    </row>
    <row r="92" spans="1:27" s="5" customFormat="1" ht="33.950000000000003" customHeight="1" x14ac:dyDescent="0.3">
      <c r="A92" s="8"/>
      <c r="B92" s="50">
        <v>46204</v>
      </c>
      <c r="C92" s="11"/>
      <c r="D92" s="11"/>
      <c r="E92" s="11"/>
      <c r="F92" s="11"/>
      <c r="G92" s="11"/>
      <c r="H92" s="11"/>
      <c r="I92" s="11"/>
      <c r="J92" s="11"/>
      <c r="K92" s="13"/>
      <c r="L92" s="13"/>
      <c r="M92" s="13"/>
      <c r="N92" s="85"/>
      <c r="O92" s="11"/>
      <c r="P92" s="79">
        <f t="shared" si="6"/>
        <v>0</v>
      </c>
      <c r="Q92" s="11"/>
      <c r="R92" s="11"/>
      <c r="S92" s="89"/>
      <c r="T92" s="11"/>
      <c r="U92" s="11"/>
      <c r="V92" s="11"/>
      <c r="W92" s="14">
        <f t="shared" si="5"/>
        <v>0</v>
      </c>
      <c r="X92" s="54">
        <f t="shared" si="7"/>
        <v>0</v>
      </c>
      <c r="Y92" s="59"/>
      <c r="Z92" s="59"/>
      <c r="AA92" s="4">
        <f t="shared" si="4"/>
        <v>0</v>
      </c>
    </row>
    <row r="93" spans="1:27" s="5" customFormat="1" ht="33.950000000000003" customHeight="1" x14ac:dyDescent="0.3">
      <c r="A93" s="8"/>
      <c r="B93" s="50">
        <v>46206</v>
      </c>
      <c r="C93" s="11"/>
      <c r="D93" s="11"/>
      <c r="E93" s="11"/>
      <c r="F93" s="11"/>
      <c r="G93" s="11"/>
      <c r="H93" s="11"/>
      <c r="I93" s="11"/>
      <c r="J93" s="11"/>
      <c r="K93" s="13"/>
      <c r="L93" s="13"/>
      <c r="M93" s="13"/>
      <c r="N93" s="85"/>
      <c r="O93" s="11"/>
      <c r="P93" s="79">
        <f t="shared" si="6"/>
        <v>0</v>
      </c>
      <c r="Q93" s="11"/>
      <c r="R93" s="11"/>
      <c r="S93" s="89"/>
      <c r="T93" s="11"/>
      <c r="U93" s="11"/>
      <c r="V93" s="11"/>
      <c r="W93" s="14">
        <f t="shared" si="5"/>
        <v>0</v>
      </c>
      <c r="X93" s="54">
        <f t="shared" si="7"/>
        <v>0</v>
      </c>
      <c r="Y93" s="59"/>
      <c r="Z93" s="59"/>
      <c r="AA93" s="4">
        <f t="shared" si="4"/>
        <v>0</v>
      </c>
    </row>
    <row r="94" spans="1:27" s="5" customFormat="1" ht="33.950000000000003" customHeight="1" x14ac:dyDescent="0.3">
      <c r="A94" s="8"/>
      <c r="B94" s="50">
        <v>46209</v>
      </c>
      <c r="C94" s="11"/>
      <c r="D94" s="11"/>
      <c r="E94" s="11"/>
      <c r="F94" s="11"/>
      <c r="G94" s="11"/>
      <c r="H94" s="11"/>
      <c r="I94" s="11"/>
      <c r="J94" s="11"/>
      <c r="K94" s="13"/>
      <c r="L94" s="13"/>
      <c r="M94" s="13"/>
      <c r="N94" s="85"/>
      <c r="O94" s="11"/>
      <c r="P94" s="79">
        <f t="shared" si="6"/>
        <v>0</v>
      </c>
      <c r="Q94" s="11"/>
      <c r="R94" s="11"/>
      <c r="S94" s="89"/>
      <c r="T94" s="11"/>
      <c r="U94" s="11"/>
      <c r="V94" s="11"/>
      <c r="W94" s="14">
        <f t="shared" si="5"/>
        <v>0</v>
      </c>
      <c r="X94" s="54">
        <f t="shared" si="7"/>
        <v>0</v>
      </c>
      <c r="Y94" s="59"/>
      <c r="Z94" s="59"/>
      <c r="AA94" s="4">
        <f t="shared" si="4"/>
        <v>0</v>
      </c>
    </row>
    <row r="95" spans="1:27" s="5" customFormat="1" ht="33.950000000000003" customHeight="1" x14ac:dyDescent="0.3">
      <c r="A95" s="8"/>
      <c r="B95" s="50">
        <v>46211</v>
      </c>
      <c r="C95" s="11"/>
      <c r="D95" s="11"/>
      <c r="E95" s="11"/>
      <c r="F95" s="11"/>
      <c r="G95" s="11"/>
      <c r="H95" s="11"/>
      <c r="I95" s="11"/>
      <c r="J95" s="11"/>
      <c r="K95" s="13"/>
      <c r="L95" s="13"/>
      <c r="M95" s="13"/>
      <c r="N95" s="85"/>
      <c r="O95" s="11"/>
      <c r="P95" s="79">
        <f t="shared" si="6"/>
        <v>0</v>
      </c>
      <c r="Q95" s="11"/>
      <c r="R95" s="11"/>
      <c r="S95" s="89"/>
      <c r="T95" s="11"/>
      <c r="U95" s="11"/>
      <c r="V95" s="11"/>
      <c r="W95" s="14">
        <f t="shared" si="5"/>
        <v>0</v>
      </c>
      <c r="X95" s="54">
        <f t="shared" si="7"/>
        <v>0</v>
      </c>
      <c r="Y95" s="59"/>
      <c r="Z95" s="59"/>
      <c r="AA95" s="4">
        <f t="shared" si="4"/>
        <v>0</v>
      </c>
    </row>
    <row r="96" spans="1:27" s="5" customFormat="1" ht="33.950000000000003" customHeight="1" x14ac:dyDescent="0.3">
      <c r="A96" s="8"/>
      <c r="B96" s="50">
        <v>46213</v>
      </c>
      <c r="C96" s="11"/>
      <c r="D96" s="11"/>
      <c r="E96" s="11"/>
      <c r="F96" s="11"/>
      <c r="G96" s="11"/>
      <c r="H96" s="11"/>
      <c r="I96" s="11"/>
      <c r="J96" s="11"/>
      <c r="K96" s="13"/>
      <c r="L96" s="13"/>
      <c r="M96" s="13"/>
      <c r="N96" s="85"/>
      <c r="O96" s="11"/>
      <c r="P96" s="79">
        <f t="shared" si="6"/>
        <v>0</v>
      </c>
      <c r="Q96" s="11"/>
      <c r="R96" s="11"/>
      <c r="S96" s="89"/>
      <c r="T96" s="11"/>
      <c r="U96" s="11"/>
      <c r="V96" s="11"/>
      <c r="W96" s="14">
        <f t="shared" si="5"/>
        <v>0</v>
      </c>
      <c r="X96" s="54">
        <f t="shared" si="7"/>
        <v>0</v>
      </c>
      <c r="Y96" s="59"/>
      <c r="Z96" s="59"/>
      <c r="AA96" s="4">
        <f t="shared" si="4"/>
        <v>0</v>
      </c>
    </row>
    <row r="97" spans="1:34" s="5" customFormat="1" ht="33.950000000000003" customHeight="1" x14ac:dyDescent="0.3">
      <c r="A97" s="8"/>
      <c r="B97" s="50">
        <v>46217</v>
      </c>
      <c r="C97" s="11"/>
      <c r="D97" s="11"/>
      <c r="E97" s="11"/>
      <c r="F97" s="11"/>
      <c r="G97" s="11"/>
      <c r="H97" s="11"/>
      <c r="I97" s="11"/>
      <c r="J97" s="11"/>
      <c r="K97" s="13"/>
      <c r="L97" s="13"/>
      <c r="M97" s="13"/>
      <c r="N97" s="85"/>
      <c r="O97" s="11"/>
      <c r="P97" s="79">
        <f t="shared" si="6"/>
        <v>0</v>
      </c>
      <c r="Q97" s="11"/>
      <c r="R97" s="11"/>
      <c r="S97" s="89"/>
      <c r="T97" s="11"/>
      <c r="U97" s="11"/>
      <c r="V97" s="11"/>
      <c r="W97" s="14">
        <f t="shared" si="5"/>
        <v>0</v>
      </c>
      <c r="X97" s="54">
        <f t="shared" si="7"/>
        <v>0</v>
      </c>
      <c r="Y97" s="59"/>
      <c r="Z97" s="59"/>
      <c r="AA97" s="4">
        <f t="shared" si="4"/>
        <v>0</v>
      </c>
    </row>
    <row r="98" spans="1:34" s="5" customFormat="1" ht="33.950000000000003" customHeight="1" x14ac:dyDescent="0.3">
      <c r="A98" s="8"/>
      <c r="B98" s="50">
        <v>46218</v>
      </c>
      <c r="C98" s="11"/>
      <c r="D98" s="11"/>
      <c r="E98" s="11"/>
      <c r="F98" s="11"/>
      <c r="G98" s="11"/>
      <c r="H98" s="11"/>
      <c r="I98" s="11"/>
      <c r="J98" s="11"/>
      <c r="K98" s="13"/>
      <c r="L98" s="13"/>
      <c r="M98" s="13"/>
      <c r="N98" s="85"/>
      <c r="O98" s="11"/>
      <c r="P98" s="79">
        <f t="shared" si="6"/>
        <v>0</v>
      </c>
      <c r="Q98" s="11"/>
      <c r="R98" s="11"/>
      <c r="S98" s="89"/>
      <c r="T98" s="11"/>
      <c r="U98" s="11"/>
      <c r="V98" s="11"/>
      <c r="W98" s="14">
        <f t="shared" si="5"/>
        <v>0</v>
      </c>
      <c r="X98" s="54">
        <f t="shared" si="7"/>
        <v>0</v>
      </c>
      <c r="Y98" s="59"/>
      <c r="Z98" s="59"/>
      <c r="AA98" s="4">
        <f t="shared" si="4"/>
        <v>0</v>
      </c>
    </row>
    <row r="99" spans="1:34" s="5" customFormat="1" ht="33.950000000000003" customHeight="1" x14ac:dyDescent="0.3">
      <c r="A99" s="8"/>
      <c r="B99" s="50">
        <v>46223</v>
      </c>
      <c r="C99" s="11"/>
      <c r="D99" s="11"/>
      <c r="E99" s="11"/>
      <c r="F99" s="11"/>
      <c r="G99" s="11"/>
      <c r="H99" s="11"/>
      <c r="I99" s="11"/>
      <c r="J99" s="11"/>
      <c r="K99" s="13"/>
      <c r="L99" s="13"/>
      <c r="M99" s="13"/>
      <c r="N99" s="85"/>
      <c r="O99" s="11"/>
      <c r="P99" s="79">
        <f t="shared" si="6"/>
        <v>0</v>
      </c>
      <c r="Q99" s="11"/>
      <c r="R99" s="11"/>
      <c r="S99" s="89"/>
      <c r="T99" s="11"/>
      <c r="U99" s="11"/>
      <c r="V99" s="11"/>
      <c r="W99" s="14">
        <f t="shared" si="5"/>
        <v>0</v>
      </c>
      <c r="X99" s="54">
        <f t="shared" si="7"/>
        <v>0</v>
      </c>
      <c r="Y99" s="59"/>
      <c r="Z99" s="59"/>
      <c r="AA99" s="4">
        <f t="shared" si="4"/>
        <v>0</v>
      </c>
    </row>
    <row r="100" spans="1:34" s="5" customFormat="1" ht="33.950000000000003" customHeight="1" x14ac:dyDescent="0.3">
      <c r="A100" s="8" t="s">
        <v>47</v>
      </c>
      <c r="B100" s="50">
        <v>46224</v>
      </c>
      <c r="C100" s="11"/>
      <c r="D100" s="11"/>
      <c r="E100" s="11"/>
      <c r="F100" s="11"/>
      <c r="G100" s="11"/>
      <c r="H100" s="11"/>
      <c r="I100" s="11"/>
      <c r="J100" s="11"/>
      <c r="K100" s="13"/>
      <c r="L100" s="13"/>
      <c r="M100" s="13"/>
      <c r="N100" s="85"/>
      <c r="O100" s="11"/>
      <c r="P100" s="79">
        <f t="shared" si="6"/>
        <v>0</v>
      </c>
      <c r="Q100" s="11"/>
      <c r="R100" s="11"/>
      <c r="S100" s="89"/>
      <c r="T100" s="11"/>
      <c r="U100" s="11"/>
      <c r="V100" s="11"/>
      <c r="W100" s="14">
        <f t="shared" si="5"/>
        <v>0</v>
      </c>
      <c r="X100" s="54">
        <f t="shared" si="7"/>
        <v>0</v>
      </c>
      <c r="Y100" s="59"/>
      <c r="Z100" s="59"/>
      <c r="AA100" s="4">
        <f t="shared" si="4"/>
        <v>0</v>
      </c>
    </row>
    <row r="101" spans="1:34" s="5" customFormat="1" ht="33.950000000000003" customHeight="1" x14ac:dyDescent="0.3">
      <c r="A101" s="8" t="s">
        <v>41</v>
      </c>
      <c r="B101" s="50">
        <v>46227</v>
      </c>
      <c r="C101" s="11"/>
      <c r="D101" s="11"/>
      <c r="E101" s="11"/>
      <c r="F101" s="11"/>
      <c r="G101" s="11"/>
      <c r="H101" s="11"/>
      <c r="I101" s="11"/>
      <c r="J101" s="11"/>
      <c r="K101" s="13"/>
      <c r="L101" s="13"/>
      <c r="M101" s="13"/>
      <c r="N101" s="85"/>
      <c r="O101" s="11"/>
      <c r="P101" s="79">
        <f t="shared" si="6"/>
        <v>0</v>
      </c>
      <c r="Q101" s="11"/>
      <c r="R101" s="11"/>
      <c r="S101" s="89"/>
      <c r="T101" s="11"/>
      <c r="U101" s="11"/>
      <c r="V101" s="11"/>
      <c r="W101" s="14">
        <f t="shared" si="5"/>
        <v>0</v>
      </c>
      <c r="X101" s="54">
        <f t="shared" si="7"/>
        <v>0</v>
      </c>
      <c r="Y101" s="59"/>
      <c r="Z101" s="59"/>
      <c r="AA101" s="4">
        <f t="shared" si="4"/>
        <v>0</v>
      </c>
    </row>
    <row r="102" spans="1:34" s="5" customFormat="1" ht="33.950000000000003" customHeight="1" x14ac:dyDescent="0.3">
      <c r="A102" s="8" t="s">
        <v>38</v>
      </c>
      <c r="B102" s="50">
        <v>46231</v>
      </c>
      <c r="C102" s="11"/>
      <c r="D102" s="11"/>
      <c r="E102" s="11"/>
      <c r="F102" s="11"/>
      <c r="G102" s="11"/>
      <c r="H102" s="11"/>
      <c r="I102" s="11"/>
      <c r="J102" s="11"/>
      <c r="K102" s="13"/>
      <c r="L102" s="13"/>
      <c r="M102" s="13"/>
      <c r="N102" s="85"/>
      <c r="O102" s="11"/>
      <c r="P102" s="79">
        <f t="shared" si="6"/>
        <v>0</v>
      </c>
      <c r="Q102" s="11"/>
      <c r="R102" s="11"/>
      <c r="S102" s="89"/>
      <c r="T102" s="11"/>
      <c r="U102" s="11"/>
      <c r="V102" s="11"/>
      <c r="W102" s="14">
        <f t="shared" si="5"/>
        <v>0</v>
      </c>
      <c r="X102" s="54">
        <f t="shared" si="7"/>
        <v>0</v>
      </c>
      <c r="Y102" s="59"/>
      <c r="Z102" s="59"/>
      <c r="AA102" s="4">
        <f t="shared" si="4"/>
        <v>0</v>
      </c>
    </row>
    <row r="103" spans="1:34" s="5" customFormat="1" ht="33.950000000000003" customHeight="1" x14ac:dyDescent="0.3">
      <c r="A103" s="8" t="s">
        <v>44</v>
      </c>
      <c r="B103" s="50">
        <v>46232</v>
      </c>
      <c r="C103" s="11"/>
      <c r="D103" s="11"/>
      <c r="E103" s="11"/>
      <c r="F103" s="11"/>
      <c r="G103" s="11"/>
      <c r="H103" s="11"/>
      <c r="I103" s="11"/>
      <c r="J103" s="11"/>
      <c r="K103" s="13"/>
      <c r="L103" s="13"/>
      <c r="M103" s="13"/>
      <c r="N103" s="85"/>
      <c r="O103" s="11"/>
      <c r="P103" s="79">
        <f t="shared" si="6"/>
        <v>0</v>
      </c>
      <c r="Q103" s="11"/>
      <c r="R103" s="11"/>
      <c r="S103" s="89"/>
      <c r="T103" s="11"/>
      <c r="U103" s="11"/>
      <c r="V103" s="11"/>
      <c r="W103" s="14">
        <f t="shared" si="5"/>
        <v>0</v>
      </c>
      <c r="X103" s="54">
        <f t="shared" si="7"/>
        <v>0</v>
      </c>
      <c r="Y103" s="59"/>
      <c r="Z103" s="59"/>
      <c r="AA103" s="4">
        <f t="shared" si="4"/>
        <v>0</v>
      </c>
    </row>
    <row r="104" spans="1:34" s="5" customFormat="1" ht="33.950000000000003" customHeight="1" x14ac:dyDescent="0.3">
      <c r="A104" s="8"/>
      <c r="B104" s="50">
        <v>46233</v>
      </c>
      <c r="C104" s="11"/>
      <c r="D104" s="11"/>
      <c r="E104" s="11"/>
      <c r="F104" s="11"/>
      <c r="G104" s="11"/>
      <c r="H104" s="11"/>
      <c r="I104" s="11"/>
      <c r="J104" s="11"/>
      <c r="K104" s="13"/>
      <c r="L104" s="13"/>
      <c r="M104" s="13"/>
      <c r="N104" s="85"/>
      <c r="O104" s="11"/>
      <c r="P104" s="79">
        <f t="shared" si="6"/>
        <v>0</v>
      </c>
      <c r="Q104" s="11"/>
      <c r="R104" s="11"/>
      <c r="S104" s="89"/>
      <c r="T104" s="11"/>
      <c r="U104" s="11"/>
      <c r="V104" s="11"/>
      <c r="W104" s="14">
        <f t="shared" si="5"/>
        <v>0</v>
      </c>
      <c r="X104" s="54">
        <f t="shared" si="7"/>
        <v>0</v>
      </c>
      <c r="Y104" s="59"/>
      <c r="Z104" s="59"/>
      <c r="AA104" s="4">
        <f t="shared" si="4"/>
        <v>0</v>
      </c>
    </row>
    <row r="105" spans="1:34" s="5" customFormat="1" ht="33.950000000000003" customHeight="1" x14ac:dyDescent="0.3">
      <c r="A105" s="8"/>
      <c r="B105" s="50">
        <v>46235</v>
      </c>
      <c r="C105" s="11"/>
      <c r="D105" s="11"/>
      <c r="E105" s="11"/>
      <c r="F105" s="11"/>
      <c r="G105" s="11"/>
      <c r="H105" s="11"/>
      <c r="I105" s="11"/>
      <c r="J105" s="11"/>
      <c r="K105" s="13"/>
      <c r="L105" s="13"/>
      <c r="M105" s="13"/>
      <c r="N105" s="85"/>
      <c r="O105" s="11"/>
      <c r="P105" s="79">
        <f t="shared" si="6"/>
        <v>0</v>
      </c>
      <c r="Q105" s="11"/>
      <c r="R105" s="11"/>
      <c r="S105" s="89"/>
      <c r="T105" s="11"/>
      <c r="U105" s="11"/>
      <c r="V105" s="11"/>
      <c r="W105" s="14">
        <f t="shared" si="5"/>
        <v>0</v>
      </c>
      <c r="X105" s="54">
        <f t="shared" si="7"/>
        <v>0</v>
      </c>
      <c r="Y105" s="59"/>
      <c r="Z105" s="59"/>
      <c r="AA105" s="4">
        <f t="shared" si="4"/>
        <v>0</v>
      </c>
    </row>
    <row r="106" spans="1:34" s="5" customFormat="1" ht="33.950000000000003" customHeight="1" x14ac:dyDescent="0.3">
      <c r="A106" s="8"/>
      <c r="B106" s="50"/>
      <c r="C106" s="11"/>
      <c r="D106" s="11"/>
      <c r="E106" s="11"/>
      <c r="F106" s="11"/>
      <c r="G106" s="11"/>
      <c r="H106" s="11"/>
      <c r="I106" s="11"/>
      <c r="J106" s="11"/>
      <c r="K106" s="13"/>
      <c r="L106" s="13"/>
      <c r="M106" s="13"/>
      <c r="N106" s="85"/>
      <c r="O106" s="11"/>
      <c r="P106" s="79">
        <f t="shared" si="6"/>
        <v>0</v>
      </c>
      <c r="Q106" s="11"/>
      <c r="R106" s="11"/>
      <c r="S106" s="89"/>
      <c r="T106" s="11"/>
      <c r="U106" s="11"/>
      <c r="V106" s="11"/>
      <c r="W106" s="14">
        <f t="shared" si="5"/>
        <v>0</v>
      </c>
      <c r="X106" s="54">
        <f t="shared" si="7"/>
        <v>0</v>
      </c>
      <c r="Y106" s="59"/>
      <c r="Z106" s="59"/>
      <c r="AA106" s="4">
        <f t="shared" si="4"/>
        <v>0</v>
      </c>
    </row>
    <row r="107" spans="1:34" s="5" customFormat="1" ht="33.950000000000003" customHeight="1" x14ac:dyDescent="0.3">
      <c r="A107" s="8"/>
      <c r="B107" s="50"/>
      <c r="C107" s="11"/>
      <c r="D107" s="11"/>
      <c r="E107" s="11"/>
      <c r="F107" s="11"/>
      <c r="G107" s="11"/>
      <c r="H107" s="11"/>
      <c r="I107" s="11"/>
      <c r="J107" s="11"/>
      <c r="K107" s="13"/>
      <c r="L107" s="13"/>
      <c r="M107" s="13"/>
      <c r="N107" s="85"/>
      <c r="O107" s="11"/>
      <c r="P107" s="79">
        <f t="shared" si="6"/>
        <v>0</v>
      </c>
      <c r="Q107" s="11"/>
      <c r="R107" s="11"/>
      <c r="S107" s="89"/>
      <c r="T107" s="11"/>
      <c r="U107" s="11"/>
      <c r="V107" s="11"/>
      <c r="W107" s="14">
        <f t="shared" si="5"/>
        <v>0</v>
      </c>
      <c r="X107" s="54">
        <f t="shared" si="7"/>
        <v>0</v>
      </c>
      <c r="Y107" s="59"/>
      <c r="Z107" s="59"/>
      <c r="AA107" s="4">
        <f t="shared" si="4"/>
        <v>0</v>
      </c>
    </row>
    <row r="108" spans="1:34" s="5" customFormat="1" ht="33.950000000000003" customHeight="1" x14ac:dyDescent="0.3">
      <c r="A108" s="8"/>
      <c r="B108" s="50"/>
      <c r="C108" s="11"/>
      <c r="D108" s="11"/>
      <c r="E108" s="11"/>
      <c r="F108" s="11"/>
      <c r="G108" s="11"/>
      <c r="H108" s="11"/>
      <c r="I108" s="11"/>
      <c r="J108" s="11"/>
      <c r="K108" s="13"/>
      <c r="L108" s="13"/>
      <c r="M108" s="13"/>
      <c r="N108" s="85"/>
      <c r="O108" s="11"/>
      <c r="P108" s="79">
        <f t="shared" si="6"/>
        <v>0</v>
      </c>
      <c r="Q108" s="11"/>
      <c r="R108" s="11"/>
      <c r="S108" s="89"/>
      <c r="T108" s="11"/>
      <c r="U108" s="11"/>
      <c r="V108" s="11"/>
      <c r="W108" s="14">
        <f t="shared" si="5"/>
        <v>0</v>
      </c>
      <c r="X108" s="54">
        <f t="shared" si="7"/>
        <v>0</v>
      </c>
      <c r="Y108" s="59"/>
      <c r="Z108" s="59"/>
      <c r="AA108" s="4">
        <f t="shared" si="4"/>
        <v>0</v>
      </c>
    </row>
    <row r="109" spans="1:34" s="20" customFormat="1" ht="33.950000000000003" customHeight="1" thickBot="1" x14ac:dyDescent="0.35">
      <c r="A109" s="17"/>
      <c r="B109" s="18"/>
      <c r="C109" s="18">
        <f>SUM(C4:C108)</f>
        <v>0</v>
      </c>
      <c r="D109" s="18">
        <f>SUM(D4:D108)</f>
        <v>0</v>
      </c>
      <c r="E109" s="18">
        <f t="shared" ref="E109:G109" si="8">SUM(E4:E108)</f>
        <v>0</v>
      </c>
      <c r="F109" s="18">
        <f t="shared" si="8"/>
        <v>0</v>
      </c>
      <c r="G109" s="18">
        <f t="shared" si="8"/>
        <v>0</v>
      </c>
      <c r="H109" s="18">
        <f t="shared" ref="H109:N109" si="9">SUM(H6:H108)</f>
        <v>0</v>
      </c>
      <c r="I109" s="18">
        <f t="shared" si="9"/>
        <v>0</v>
      </c>
      <c r="J109" s="18"/>
      <c r="K109" s="19"/>
      <c r="L109" s="44"/>
      <c r="M109" s="44"/>
      <c r="N109" s="44">
        <f t="shared" si="9"/>
        <v>0</v>
      </c>
      <c r="O109" s="11"/>
      <c r="P109" s="79"/>
      <c r="Q109" s="11">
        <f t="shared" ref="Q109:S109" si="10">SUM(Q4:Q108)</f>
        <v>0</v>
      </c>
      <c r="R109" s="11">
        <f t="shared" si="10"/>
        <v>0</v>
      </c>
      <c r="S109" s="90">
        <f t="shared" si="10"/>
        <v>0</v>
      </c>
      <c r="T109" s="18">
        <f>SUM(T4:T108)</f>
        <v>0</v>
      </c>
      <c r="U109" s="18">
        <f t="shared" ref="U109:Z109" si="11">SUM(U4:U108)</f>
        <v>0</v>
      </c>
      <c r="V109" s="18">
        <f t="shared" si="11"/>
        <v>0</v>
      </c>
      <c r="W109" s="18"/>
      <c r="X109" s="18">
        <f t="shared" si="11"/>
        <v>0</v>
      </c>
      <c r="Y109" s="18">
        <f t="shared" si="11"/>
        <v>0</v>
      </c>
      <c r="Z109" s="18">
        <f t="shared" si="11"/>
        <v>0</v>
      </c>
      <c r="AA109" s="4"/>
    </row>
    <row r="110" spans="1:34" s="20" customFormat="1" ht="33.950000000000003" customHeight="1" thickBot="1" x14ac:dyDescent="0.35">
      <c r="E110" s="21"/>
      <c r="F110" s="21"/>
      <c r="G110" s="21"/>
      <c r="H110" s="22"/>
      <c r="I110" s="23"/>
      <c r="J110" s="24"/>
      <c r="K110" s="25"/>
      <c r="L110" s="25"/>
      <c r="M110" s="25"/>
      <c r="N110" s="25"/>
      <c r="O110" s="21"/>
      <c r="P110" s="92"/>
      <c r="Q110" s="21"/>
      <c r="R110" s="21"/>
      <c r="S110" s="21"/>
      <c r="X110" s="26"/>
      <c r="Y110" s="28"/>
      <c r="Z110" s="28"/>
    </row>
    <row r="111" spans="1:34" s="20" customFormat="1" ht="33.950000000000003" customHeight="1" x14ac:dyDescent="0.3">
      <c r="F111" s="27"/>
      <c r="K111" s="28"/>
      <c r="L111" s="28"/>
      <c r="M111" s="28"/>
      <c r="N111" s="28"/>
      <c r="P111" s="93"/>
      <c r="X111" s="26"/>
      <c r="Y111" s="28"/>
      <c r="Z111" s="28"/>
    </row>
    <row r="112" spans="1:34" s="29" customFormat="1" ht="33.950000000000003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8"/>
      <c r="L112" s="28"/>
      <c r="M112" s="28"/>
      <c r="N112" s="28"/>
      <c r="O112" s="20"/>
      <c r="P112" s="93"/>
      <c r="Q112" s="20"/>
      <c r="R112" s="20"/>
      <c r="S112" s="20"/>
      <c r="T112" s="20"/>
      <c r="U112" s="20"/>
      <c r="V112" s="20"/>
      <c r="W112" s="20"/>
      <c r="X112" s="26"/>
      <c r="Y112" s="28"/>
      <c r="Z112" s="28"/>
      <c r="AA112" s="20"/>
      <c r="AB112" s="20"/>
      <c r="AC112" s="20"/>
      <c r="AD112" s="20"/>
      <c r="AE112" s="20"/>
      <c r="AF112" s="20"/>
      <c r="AG112" s="20"/>
      <c r="AH112" s="20"/>
    </row>
    <row r="113" spans="1:34" s="29" customFormat="1" ht="33.950000000000003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8"/>
      <c r="L113" s="28"/>
      <c r="M113" s="28"/>
      <c r="N113" s="28"/>
      <c r="O113" s="20"/>
      <c r="P113" s="93"/>
      <c r="Q113" s="20"/>
      <c r="R113" s="20"/>
      <c r="S113" s="20"/>
      <c r="T113" s="20"/>
      <c r="U113" s="20"/>
      <c r="V113" s="20"/>
      <c r="W113" s="20"/>
      <c r="X113" s="26"/>
      <c r="Y113" s="28"/>
      <c r="Z113" s="28"/>
      <c r="AA113" s="20"/>
      <c r="AB113" s="20"/>
      <c r="AC113" s="20"/>
      <c r="AD113" s="20"/>
      <c r="AE113" s="20"/>
      <c r="AF113" s="20"/>
      <c r="AG113" s="20"/>
      <c r="AH113" s="20"/>
    </row>
    <row r="114" spans="1:34" s="29" customFormat="1" ht="33.950000000000003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8"/>
      <c r="L114" s="28"/>
      <c r="M114" s="28"/>
      <c r="N114" s="28"/>
      <c r="O114" s="20"/>
      <c r="P114" s="93"/>
      <c r="Q114" s="20"/>
      <c r="R114" s="20"/>
      <c r="S114" s="20"/>
      <c r="T114" s="20"/>
      <c r="U114" s="20"/>
      <c r="V114" s="20"/>
      <c r="W114" s="20"/>
      <c r="X114" s="26"/>
      <c r="Y114" s="28">
        <f>109+102</f>
        <v>211</v>
      </c>
      <c r="Z114" s="28"/>
      <c r="AA114" s="20"/>
      <c r="AB114" s="20"/>
      <c r="AC114" s="20"/>
      <c r="AD114" s="20"/>
      <c r="AE114" s="20"/>
      <c r="AF114" s="20"/>
      <c r="AG114" s="20"/>
      <c r="AH114" s="20"/>
    </row>
    <row r="115" spans="1:34" s="29" customFormat="1" ht="33.950000000000003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8"/>
      <c r="L115" s="28"/>
      <c r="M115" s="28"/>
      <c r="N115" s="28"/>
      <c r="O115" s="20"/>
      <c r="P115" s="93"/>
      <c r="Q115" s="20"/>
      <c r="R115" s="20"/>
      <c r="S115" s="20"/>
      <c r="T115" s="20"/>
      <c r="U115" s="20"/>
      <c r="V115" s="20"/>
      <c r="W115" s="20"/>
      <c r="X115" s="26"/>
      <c r="Y115" s="28">
        <f>131+126</f>
        <v>257</v>
      </c>
      <c r="Z115" s="28"/>
      <c r="AA115" s="20"/>
      <c r="AB115" s="20"/>
      <c r="AC115" s="20"/>
      <c r="AD115" s="20"/>
      <c r="AE115" s="20"/>
      <c r="AF115" s="20"/>
      <c r="AG115" s="20"/>
      <c r="AH115" s="20"/>
    </row>
    <row r="116" spans="1:34" s="29" customFormat="1" ht="33.950000000000003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8"/>
      <c r="L116" s="28"/>
      <c r="M116" s="28"/>
      <c r="N116" s="28"/>
      <c r="O116" s="20"/>
      <c r="P116" s="93"/>
      <c r="Q116" s="20"/>
      <c r="R116" s="20"/>
      <c r="S116" s="20"/>
      <c r="T116" s="20"/>
      <c r="U116" s="20"/>
      <c r="V116" s="20"/>
      <c r="W116" s="20"/>
      <c r="X116" s="26"/>
      <c r="Y116" s="28">
        <f>211+35+257+208+126</f>
        <v>837</v>
      </c>
      <c r="Z116" s="28"/>
      <c r="AA116" s="20"/>
      <c r="AB116" s="20"/>
      <c r="AC116" s="20"/>
      <c r="AD116" s="20"/>
      <c r="AE116" s="20"/>
      <c r="AF116" s="20"/>
      <c r="AG116" s="20"/>
      <c r="AH116" s="20"/>
    </row>
    <row r="117" spans="1:34" s="29" customFormat="1" ht="33.950000000000003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8"/>
      <c r="L117" s="28"/>
      <c r="M117" s="28"/>
      <c r="N117" s="28"/>
      <c r="O117" s="20"/>
      <c r="P117" s="93"/>
      <c r="Q117" s="20"/>
      <c r="R117" s="20"/>
      <c r="S117" s="20"/>
      <c r="T117" s="20"/>
      <c r="U117" s="20"/>
      <c r="V117" s="20"/>
      <c r="W117" s="20"/>
      <c r="X117" s="26"/>
      <c r="Y117" s="28"/>
      <c r="Z117" s="28"/>
      <c r="AA117" s="20"/>
      <c r="AB117" s="20"/>
      <c r="AC117" s="20"/>
      <c r="AD117" s="20"/>
      <c r="AE117" s="20"/>
      <c r="AF117" s="20"/>
      <c r="AG117" s="20"/>
      <c r="AH117" s="20"/>
    </row>
    <row r="118" spans="1:34" s="29" customFormat="1" ht="33.950000000000003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8"/>
      <c r="L118" s="28"/>
      <c r="M118" s="28"/>
      <c r="N118" s="28"/>
      <c r="O118" s="20"/>
      <c r="P118" s="93"/>
      <c r="Q118" s="20"/>
      <c r="R118" s="20"/>
      <c r="S118" s="20"/>
      <c r="T118" s="20"/>
      <c r="U118" s="20"/>
      <c r="V118" s="20"/>
      <c r="W118" s="20"/>
      <c r="X118" s="26"/>
      <c r="Y118" s="28"/>
      <c r="Z118" s="28"/>
      <c r="AA118" s="20"/>
      <c r="AB118" s="20"/>
      <c r="AC118" s="20"/>
      <c r="AD118" s="20"/>
      <c r="AE118" s="20"/>
      <c r="AF118" s="20"/>
      <c r="AG118" s="20"/>
      <c r="AH118" s="20"/>
    </row>
    <row r="119" spans="1:34" s="29" customFormat="1" ht="33.950000000000003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8"/>
      <c r="L119" s="28"/>
      <c r="M119" s="28"/>
      <c r="N119" s="28"/>
      <c r="O119" s="20"/>
      <c r="P119" s="93"/>
      <c r="Q119" s="20"/>
      <c r="R119" s="20"/>
      <c r="S119" s="20"/>
      <c r="T119" s="20"/>
      <c r="U119" s="20"/>
      <c r="V119" s="20"/>
      <c r="W119" s="20"/>
      <c r="X119" s="26"/>
      <c r="Y119" s="28"/>
      <c r="Z119" s="28"/>
      <c r="AA119" s="20"/>
      <c r="AB119" s="20"/>
      <c r="AC119" s="20"/>
      <c r="AD119" s="20"/>
      <c r="AE119" s="20"/>
      <c r="AF119" s="20"/>
      <c r="AG119" s="20"/>
      <c r="AH119" s="20"/>
    </row>
    <row r="120" spans="1:34" s="29" customFormat="1" ht="33.950000000000003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8"/>
      <c r="L120" s="28"/>
      <c r="M120" s="28"/>
      <c r="N120" s="28"/>
      <c r="O120" s="20"/>
      <c r="P120" s="93"/>
      <c r="Q120" s="20"/>
      <c r="R120" s="20"/>
      <c r="S120" s="20"/>
      <c r="T120" s="20"/>
      <c r="U120" s="20"/>
      <c r="V120" s="20"/>
      <c r="W120" s="20"/>
      <c r="X120" s="26"/>
      <c r="Y120" s="28"/>
      <c r="Z120" s="28"/>
      <c r="AA120" s="20"/>
      <c r="AB120" s="20"/>
      <c r="AC120" s="20"/>
      <c r="AD120" s="20"/>
      <c r="AE120" s="20"/>
      <c r="AF120" s="20"/>
      <c r="AG120" s="20"/>
      <c r="AH120" s="20"/>
    </row>
    <row r="121" spans="1:34" s="29" customFormat="1" ht="33.950000000000003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8"/>
      <c r="L121" s="28"/>
      <c r="M121" s="28"/>
      <c r="N121" s="28"/>
      <c r="O121" s="20"/>
      <c r="P121" s="93"/>
      <c r="Q121" s="20"/>
      <c r="R121" s="20"/>
      <c r="S121" s="20"/>
      <c r="T121" s="20"/>
      <c r="U121" s="20"/>
      <c r="V121" s="20"/>
      <c r="W121" s="20"/>
      <c r="X121" s="26"/>
      <c r="Y121" s="28"/>
      <c r="Z121" s="28"/>
      <c r="AA121" s="20"/>
      <c r="AB121" s="20"/>
      <c r="AC121" s="20"/>
      <c r="AD121" s="20"/>
      <c r="AE121" s="20"/>
      <c r="AF121" s="20"/>
      <c r="AG121" s="20"/>
      <c r="AH121" s="20"/>
    </row>
    <row r="122" spans="1:34" s="29" customFormat="1" ht="33.950000000000003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8"/>
      <c r="L122" s="28"/>
      <c r="M122" s="28"/>
      <c r="N122" s="28"/>
      <c r="O122" s="20"/>
      <c r="P122" s="93"/>
      <c r="Q122" s="20"/>
      <c r="R122" s="20"/>
      <c r="S122" s="20"/>
      <c r="T122" s="20"/>
      <c r="U122" s="20"/>
      <c r="V122" s="20"/>
      <c r="W122" s="20"/>
      <c r="X122" s="26"/>
      <c r="Y122" s="28"/>
      <c r="Z122" s="28"/>
      <c r="AA122" s="20"/>
      <c r="AB122" s="20"/>
      <c r="AC122" s="20"/>
      <c r="AD122" s="20"/>
      <c r="AE122" s="20"/>
      <c r="AF122" s="20"/>
      <c r="AG122" s="20"/>
      <c r="AH122" s="20"/>
    </row>
    <row r="123" spans="1:34" s="29" customFormat="1" ht="33.950000000000003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8"/>
      <c r="L123" s="28"/>
      <c r="M123" s="28"/>
      <c r="N123" s="28"/>
      <c r="O123" s="20"/>
      <c r="P123" s="93"/>
      <c r="Q123" s="20"/>
      <c r="R123" s="20"/>
      <c r="S123" s="20"/>
      <c r="T123" s="20"/>
      <c r="U123" s="20"/>
      <c r="V123" s="20"/>
      <c r="W123" s="20"/>
      <c r="X123" s="26"/>
      <c r="Y123" s="28"/>
      <c r="Z123" s="28"/>
      <c r="AA123" s="20"/>
      <c r="AB123" s="20"/>
      <c r="AC123" s="20"/>
      <c r="AD123" s="20"/>
      <c r="AE123" s="20"/>
      <c r="AF123" s="20"/>
      <c r="AG123" s="20"/>
      <c r="AH123" s="20"/>
    </row>
    <row r="124" spans="1:34" s="29" customFormat="1" ht="33.950000000000003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8"/>
      <c r="L124" s="28"/>
      <c r="M124" s="28"/>
      <c r="N124" s="28"/>
      <c r="O124" s="20"/>
      <c r="P124" s="93"/>
      <c r="Q124" s="20"/>
      <c r="R124" s="20"/>
      <c r="S124" s="20"/>
      <c r="T124" s="20"/>
      <c r="U124" s="20"/>
      <c r="V124" s="20"/>
      <c r="W124" s="20"/>
      <c r="X124" s="26"/>
      <c r="Y124" s="28"/>
      <c r="Z124" s="28"/>
      <c r="AA124" s="20"/>
      <c r="AB124" s="20"/>
      <c r="AC124" s="20"/>
      <c r="AD124" s="20"/>
      <c r="AE124" s="20"/>
      <c r="AF124" s="20"/>
      <c r="AG124" s="20"/>
      <c r="AH124" s="20"/>
    </row>
    <row r="125" spans="1:34" s="29" customFormat="1" ht="33.950000000000003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8"/>
      <c r="L125" s="28"/>
      <c r="M125" s="28"/>
      <c r="N125" s="28"/>
      <c r="O125" s="20"/>
      <c r="P125" s="93"/>
      <c r="Q125" s="20"/>
      <c r="R125" s="20"/>
      <c r="S125" s="20"/>
      <c r="T125" s="20"/>
      <c r="U125" s="20"/>
      <c r="V125" s="20"/>
      <c r="W125" s="20"/>
      <c r="X125" s="26"/>
      <c r="Y125" s="28"/>
      <c r="Z125" s="28"/>
      <c r="AA125" s="20"/>
      <c r="AB125" s="20"/>
      <c r="AC125" s="20"/>
      <c r="AD125" s="20"/>
      <c r="AE125" s="20"/>
      <c r="AF125" s="20"/>
      <c r="AG125" s="20"/>
      <c r="AH125" s="20"/>
    </row>
    <row r="126" spans="1:34" ht="33.950000000000003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8"/>
      <c r="L126" s="28"/>
      <c r="M126" s="28"/>
      <c r="N126" s="28"/>
      <c r="S126" s="20"/>
      <c r="T126" s="20"/>
      <c r="U126" s="20"/>
      <c r="V126" s="20"/>
    </row>
    <row r="127" spans="1:34" ht="33.950000000000003" customHeight="1" x14ac:dyDescent="0.3"/>
    <row r="128" spans="1:34" ht="33.950000000000003" customHeight="1" x14ac:dyDescent="0.3"/>
    <row r="129" ht="33.950000000000003" customHeight="1" x14ac:dyDescent="0.3"/>
    <row r="130" ht="33.950000000000003" customHeight="1" x14ac:dyDescent="0.3"/>
    <row r="131" ht="33.950000000000003" customHeight="1" x14ac:dyDescent="0.3"/>
    <row r="132" ht="33.950000000000003" customHeight="1" x14ac:dyDescent="0.3"/>
    <row r="133" ht="33.950000000000003" customHeight="1" x14ac:dyDescent="0.3"/>
    <row r="134" ht="33.950000000000003" customHeight="1" x14ac:dyDescent="0.3"/>
    <row r="135" ht="33.950000000000003" customHeight="1" x14ac:dyDescent="0.3"/>
    <row r="136" ht="33.950000000000003" customHeight="1" x14ac:dyDescent="0.3"/>
    <row r="137" ht="33.950000000000003" customHeight="1" x14ac:dyDescent="0.3"/>
    <row r="138" ht="33.950000000000003" customHeight="1" x14ac:dyDescent="0.3"/>
    <row r="139" ht="33.950000000000003" customHeight="1" x14ac:dyDescent="0.3"/>
    <row r="140" ht="33.950000000000003" customHeight="1" x14ac:dyDescent="0.3"/>
    <row r="141" ht="33.950000000000003" customHeight="1" x14ac:dyDescent="0.3"/>
    <row r="142" ht="33.950000000000003" customHeight="1" x14ac:dyDescent="0.3"/>
    <row r="143" ht="33.950000000000003" customHeight="1" x14ac:dyDescent="0.3"/>
    <row r="144" ht="33.950000000000003" customHeight="1" x14ac:dyDescent="0.3"/>
    <row r="145" spans="1:6" ht="33.950000000000003" customHeight="1" x14ac:dyDescent="0.3"/>
    <row r="146" spans="1:6" ht="33.950000000000003" customHeight="1" x14ac:dyDescent="0.3"/>
    <row r="147" spans="1:6" ht="33.950000000000003" customHeight="1" x14ac:dyDescent="0.3"/>
    <row r="148" spans="1:6" ht="33.950000000000003" customHeight="1" x14ac:dyDescent="0.3"/>
    <row r="149" spans="1:6" ht="33.950000000000003" customHeight="1" x14ac:dyDescent="0.3"/>
    <row r="150" spans="1:6" ht="33.950000000000003" customHeight="1" x14ac:dyDescent="0.3"/>
    <row r="151" spans="1:6" ht="33.950000000000003" customHeight="1" x14ac:dyDescent="0.3"/>
    <row r="152" spans="1:6" ht="33.950000000000003" customHeight="1" x14ac:dyDescent="0.3"/>
    <row r="153" spans="1:6" ht="33.950000000000003" customHeight="1" x14ac:dyDescent="0.3"/>
    <row r="154" spans="1:6" ht="33.950000000000003" customHeight="1" x14ac:dyDescent="0.3">
      <c r="A154" s="33"/>
      <c r="B154" s="33"/>
      <c r="C154" s="33"/>
      <c r="D154" s="33"/>
      <c r="E154" s="33"/>
      <c r="F154" s="33"/>
    </row>
    <row r="155" spans="1:6" ht="33.950000000000003" customHeight="1" x14ac:dyDescent="0.3">
      <c r="A155" s="33"/>
      <c r="B155" s="33"/>
      <c r="C155" s="33"/>
      <c r="D155" s="33"/>
      <c r="E155" s="33"/>
      <c r="F155" s="33"/>
    </row>
    <row r="156" spans="1:6" ht="33.950000000000003" customHeight="1" x14ac:dyDescent="0.3"/>
    <row r="157" spans="1:6" ht="33.950000000000003" customHeight="1" x14ac:dyDescent="0.3"/>
    <row r="158" spans="1:6" ht="33.950000000000003" customHeight="1" x14ac:dyDescent="0.3"/>
    <row r="159" spans="1:6" ht="33.950000000000003" customHeight="1" x14ac:dyDescent="0.3"/>
    <row r="160" spans="1:6" ht="33.950000000000003" customHeight="1" x14ac:dyDescent="0.3"/>
    <row r="161" ht="33.950000000000003" customHeight="1" x14ac:dyDescent="0.3"/>
    <row r="162" ht="33.950000000000003" customHeight="1" x14ac:dyDescent="0.3"/>
    <row r="163" ht="33.950000000000003" customHeight="1" x14ac:dyDescent="0.3"/>
    <row r="164" ht="33.950000000000003" customHeight="1" x14ac:dyDescent="0.3"/>
    <row r="165" ht="33.950000000000003" customHeight="1" x14ac:dyDescent="0.3"/>
    <row r="166" ht="33.950000000000003" customHeight="1" x14ac:dyDescent="0.3"/>
    <row r="167" ht="33.950000000000003" customHeight="1" x14ac:dyDescent="0.3"/>
    <row r="168" ht="33.950000000000003" customHeight="1" x14ac:dyDescent="0.3"/>
    <row r="169" ht="33.950000000000003" customHeight="1" x14ac:dyDescent="0.3"/>
    <row r="170" ht="33.950000000000003" customHeight="1" x14ac:dyDescent="0.3"/>
    <row r="171" ht="33.950000000000003" customHeight="1" x14ac:dyDescent="0.3"/>
    <row r="172" ht="33.950000000000003" customHeight="1" x14ac:dyDescent="0.3"/>
    <row r="173" ht="33.950000000000003" customHeight="1" x14ac:dyDescent="0.3"/>
    <row r="174" ht="33.950000000000003" customHeight="1" x14ac:dyDescent="0.3"/>
    <row r="175" ht="33.950000000000003" customHeight="1" x14ac:dyDescent="0.3"/>
    <row r="176" ht="33.950000000000003" customHeight="1" x14ac:dyDescent="0.3"/>
    <row r="177" spans="20:20" ht="33.950000000000003" customHeight="1" x14ac:dyDescent="0.3"/>
    <row r="178" spans="20:20" ht="33.950000000000003" customHeight="1" x14ac:dyDescent="0.3"/>
    <row r="179" spans="20:20" ht="33.950000000000003" customHeight="1" x14ac:dyDescent="0.3">
      <c r="T179" s="5" t="s">
        <v>19</v>
      </c>
    </row>
    <row r="180" spans="20:20" ht="33.950000000000003" customHeight="1" x14ac:dyDescent="0.3"/>
    <row r="181" spans="20:20" ht="33.950000000000003" customHeight="1" x14ac:dyDescent="0.3"/>
    <row r="182" spans="20:20" ht="33.950000000000003" customHeight="1" x14ac:dyDescent="0.3"/>
    <row r="183" spans="20:20" ht="33.950000000000003" customHeight="1" x14ac:dyDescent="0.3"/>
    <row r="184" spans="20:20" ht="33.950000000000003" customHeight="1" x14ac:dyDescent="0.3"/>
    <row r="185" spans="20:20" ht="33.950000000000003" customHeight="1" x14ac:dyDescent="0.3"/>
    <row r="186" spans="20:20" ht="33.950000000000003" customHeight="1" x14ac:dyDescent="0.3"/>
    <row r="187" spans="20:20" ht="33.950000000000003" customHeight="1" x14ac:dyDescent="0.3"/>
    <row r="188" spans="20:20" ht="33.950000000000003" customHeight="1" x14ac:dyDescent="0.3"/>
    <row r="189" spans="20:20" ht="33.950000000000003" customHeight="1" x14ac:dyDescent="0.3"/>
    <row r="190" spans="20:20" ht="33.950000000000003" customHeight="1" x14ac:dyDescent="0.3"/>
    <row r="191" spans="20:20" ht="33.950000000000003" customHeight="1" x14ac:dyDescent="0.3"/>
    <row r="192" spans="20:20" ht="33.950000000000003" customHeight="1" x14ac:dyDescent="0.3"/>
    <row r="193" ht="33.950000000000003" customHeight="1" x14ac:dyDescent="0.3"/>
    <row r="194" ht="33.950000000000003" customHeight="1" x14ac:dyDescent="0.3"/>
    <row r="195" ht="33.950000000000003" customHeight="1" x14ac:dyDescent="0.3"/>
    <row r="196" ht="33.950000000000003" customHeight="1" x14ac:dyDescent="0.3"/>
    <row r="197" ht="33.950000000000003" customHeight="1" x14ac:dyDescent="0.3"/>
    <row r="198" ht="33.950000000000003" customHeight="1" x14ac:dyDescent="0.3"/>
    <row r="199" ht="33.950000000000003" customHeight="1" x14ac:dyDescent="0.3"/>
    <row r="200" ht="33.950000000000003" customHeight="1" x14ac:dyDescent="0.3"/>
    <row r="201" ht="33.950000000000003" customHeight="1" x14ac:dyDescent="0.3"/>
    <row r="202" ht="33.950000000000003" customHeight="1" x14ac:dyDescent="0.3"/>
    <row r="203" ht="33.950000000000003" customHeight="1" x14ac:dyDescent="0.3"/>
    <row r="204" ht="33.950000000000003" customHeight="1" x14ac:dyDescent="0.3"/>
    <row r="205" ht="33.950000000000003" customHeight="1" x14ac:dyDescent="0.3"/>
    <row r="206" ht="33.950000000000003" customHeight="1" x14ac:dyDescent="0.3"/>
    <row r="207" ht="33.950000000000003" customHeight="1" x14ac:dyDescent="0.3"/>
    <row r="208" ht="33.950000000000003" customHeight="1" x14ac:dyDescent="0.3"/>
    <row r="209" ht="33.950000000000003" customHeight="1" x14ac:dyDescent="0.3"/>
    <row r="210" ht="33.950000000000003" customHeight="1" x14ac:dyDescent="0.3"/>
    <row r="211" ht="33.950000000000003" customHeight="1" x14ac:dyDescent="0.3"/>
    <row r="212" ht="33.950000000000003" customHeight="1" x14ac:dyDescent="0.3"/>
    <row r="213" ht="33.950000000000003" customHeight="1" x14ac:dyDescent="0.3"/>
    <row r="214" ht="33.950000000000003" customHeight="1" x14ac:dyDescent="0.3"/>
    <row r="215" ht="33.950000000000003" customHeight="1" x14ac:dyDescent="0.3"/>
    <row r="216" ht="33.950000000000003" customHeight="1" x14ac:dyDescent="0.3"/>
    <row r="217" ht="33.950000000000003" customHeight="1" x14ac:dyDescent="0.3"/>
    <row r="218" ht="33.950000000000003" customHeight="1" x14ac:dyDescent="0.3"/>
    <row r="219" ht="33.950000000000003" customHeight="1" x14ac:dyDescent="0.3"/>
    <row r="220" ht="33.950000000000003" customHeight="1" x14ac:dyDescent="0.3"/>
    <row r="221" ht="33.950000000000003" customHeight="1" x14ac:dyDescent="0.3"/>
    <row r="222" ht="33.950000000000003" customHeight="1" x14ac:dyDescent="0.3"/>
    <row r="223" ht="33.950000000000003" customHeight="1" x14ac:dyDescent="0.3"/>
    <row r="224" ht="33.950000000000003" customHeight="1" x14ac:dyDescent="0.3"/>
    <row r="225" ht="33.950000000000003" customHeight="1" x14ac:dyDescent="0.3"/>
    <row r="226" ht="33.950000000000003" customHeight="1" x14ac:dyDescent="0.3"/>
    <row r="227" ht="33.950000000000003" customHeight="1" x14ac:dyDescent="0.3"/>
    <row r="228" ht="33.950000000000003" customHeight="1" x14ac:dyDescent="0.3"/>
    <row r="229" ht="33.950000000000003" customHeight="1" x14ac:dyDescent="0.3"/>
    <row r="230" ht="33.950000000000003" customHeight="1" x14ac:dyDescent="0.3"/>
    <row r="231" ht="33.950000000000003" customHeight="1" x14ac:dyDescent="0.3"/>
    <row r="232" ht="33.950000000000003" customHeight="1" x14ac:dyDescent="0.3"/>
    <row r="233" ht="33.950000000000003" customHeight="1" x14ac:dyDescent="0.3"/>
    <row r="234" ht="33.950000000000003" customHeight="1" x14ac:dyDescent="0.3"/>
    <row r="235" ht="33.950000000000003" customHeight="1" x14ac:dyDescent="0.3"/>
    <row r="236" ht="33.950000000000003" customHeight="1" x14ac:dyDescent="0.3"/>
    <row r="237" ht="33.950000000000003" customHeight="1" x14ac:dyDescent="0.3"/>
    <row r="238" ht="33.950000000000003" customHeight="1" x14ac:dyDescent="0.3"/>
    <row r="239" ht="33.950000000000003" customHeight="1" x14ac:dyDescent="0.3"/>
    <row r="240" ht="33.950000000000003" customHeight="1" x14ac:dyDescent="0.3"/>
    <row r="241" spans="20:20" ht="33.950000000000003" customHeight="1" x14ac:dyDescent="0.3"/>
    <row r="242" spans="20:20" ht="33.950000000000003" customHeight="1" x14ac:dyDescent="0.3"/>
    <row r="243" spans="20:20" ht="33.950000000000003" customHeight="1" x14ac:dyDescent="0.3"/>
    <row r="244" spans="20:20" ht="33.950000000000003" customHeight="1" x14ac:dyDescent="0.3"/>
    <row r="245" spans="20:20" ht="33.950000000000003" customHeight="1" x14ac:dyDescent="0.3"/>
    <row r="246" spans="20:20" ht="33.950000000000003" customHeight="1" x14ac:dyDescent="0.3">
      <c r="T246" s="5" t="s">
        <v>20</v>
      </c>
    </row>
    <row r="247" spans="20:20" ht="33.950000000000003" customHeight="1" x14ac:dyDescent="0.3"/>
    <row r="248" spans="20:20" ht="33.950000000000003" customHeight="1" x14ac:dyDescent="0.3"/>
    <row r="249" spans="20:20" ht="33.950000000000003" customHeight="1" x14ac:dyDescent="0.3"/>
    <row r="250" spans="20:20" ht="33.950000000000003" customHeight="1" x14ac:dyDescent="0.3"/>
    <row r="251" spans="20:20" ht="33.950000000000003" customHeight="1" x14ac:dyDescent="0.3"/>
    <row r="252" spans="20:20" ht="33.950000000000003" customHeight="1" x14ac:dyDescent="0.3"/>
    <row r="253" spans="20:20" ht="33.950000000000003" customHeight="1" x14ac:dyDescent="0.3"/>
    <row r="254" spans="20:20" ht="33.950000000000003" customHeight="1" x14ac:dyDescent="0.3"/>
    <row r="255" spans="20:20" ht="33.950000000000003" customHeight="1" x14ac:dyDescent="0.3"/>
    <row r="256" spans="20:20" ht="33.950000000000003" customHeight="1" x14ac:dyDescent="0.3"/>
    <row r="257" spans="1:6" ht="33.950000000000003" customHeight="1" x14ac:dyDescent="0.3"/>
    <row r="258" spans="1:6" ht="33.950000000000003" customHeight="1" x14ac:dyDescent="0.3"/>
    <row r="259" spans="1:6" ht="33.950000000000003" customHeight="1" x14ac:dyDescent="0.3"/>
    <row r="260" spans="1:6" ht="33.950000000000003" customHeight="1" x14ac:dyDescent="0.3"/>
    <row r="261" spans="1:6" ht="33.950000000000003" customHeight="1" x14ac:dyDescent="0.3">
      <c r="A261" s="34"/>
      <c r="B261" s="34"/>
      <c r="C261" s="34"/>
      <c r="D261" s="34"/>
      <c r="E261" s="34"/>
      <c r="F261" s="34"/>
    </row>
    <row r="262" spans="1:6" ht="33.950000000000003" customHeight="1" x14ac:dyDescent="0.3">
      <c r="A262" s="34"/>
      <c r="B262" s="34"/>
      <c r="C262" s="34"/>
      <c r="D262" s="34"/>
      <c r="E262" s="34"/>
      <c r="F262" s="34"/>
    </row>
    <row r="263" spans="1:6" ht="33.950000000000003" customHeight="1" x14ac:dyDescent="0.3">
      <c r="A263" s="34"/>
      <c r="B263" s="34"/>
      <c r="C263" s="34"/>
      <c r="D263" s="34"/>
      <c r="E263" s="34"/>
      <c r="F263" s="34"/>
    </row>
    <row r="264" spans="1:6" ht="33.950000000000003" customHeight="1" x14ac:dyDescent="0.3">
      <c r="A264" s="34"/>
      <c r="B264" s="34"/>
      <c r="C264" s="34"/>
      <c r="D264" s="34"/>
      <c r="E264" s="34"/>
      <c r="F264" s="34"/>
    </row>
    <row r="265" spans="1:6" ht="33.950000000000003" customHeight="1" x14ac:dyDescent="0.3">
      <c r="A265" s="34"/>
      <c r="B265" s="34"/>
      <c r="C265" s="34"/>
      <c r="D265" s="34"/>
      <c r="E265" s="34"/>
      <c r="F265" s="34"/>
    </row>
    <row r="266" spans="1:6" ht="33.950000000000003" customHeight="1" x14ac:dyDescent="0.3">
      <c r="A266" s="34"/>
      <c r="B266" s="34"/>
      <c r="C266" s="34"/>
      <c r="D266" s="34"/>
      <c r="E266" s="34"/>
      <c r="F266" s="34"/>
    </row>
    <row r="267" spans="1:6" ht="33.950000000000003" customHeight="1" x14ac:dyDescent="0.3">
      <c r="A267" s="34"/>
      <c r="B267" s="34"/>
      <c r="C267" s="34"/>
      <c r="D267" s="34"/>
      <c r="E267" s="34"/>
      <c r="F267" s="34"/>
    </row>
    <row r="268" spans="1:6" ht="33.950000000000003" customHeight="1" x14ac:dyDescent="0.3">
      <c r="A268" s="34"/>
      <c r="B268" s="34"/>
      <c r="C268" s="34"/>
      <c r="D268" s="34"/>
      <c r="E268" s="34"/>
      <c r="F268" s="34"/>
    </row>
    <row r="269" spans="1:6" ht="33.950000000000003" customHeight="1" x14ac:dyDescent="0.3">
      <c r="A269" s="34"/>
      <c r="B269" s="34"/>
      <c r="C269" s="34"/>
      <c r="D269" s="34"/>
      <c r="E269" s="34"/>
      <c r="F269" s="34"/>
    </row>
    <row r="270" spans="1:6" ht="33.950000000000003" customHeight="1" x14ac:dyDescent="0.3">
      <c r="A270" s="34"/>
      <c r="B270" s="34"/>
      <c r="C270" s="34"/>
      <c r="D270" s="34"/>
      <c r="E270" s="34"/>
      <c r="F270" s="34"/>
    </row>
    <row r="271" spans="1:6" ht="33.950000000000003" customHeight="1" x14ac:dyDescent="0.3">
      <c r="A271" s="34"/>
      <c r="B271" s="34"/>
      <c r="C271" s="34"/>
      <c r="D271" s="34"/>
      <c r="E271" s="34"/>
      <c r="F271" s="34"/>
    </row>
    <row r="272" spans="1:6" ht="33.950000000000003" customHeight="1" x14ac:dyDescent="0.3"/>
    <row r="273" spans="2:20" ht="33.950000000000003" customHeight="1" x14ac:dyDescent="0.3"/>
    <row r="274" spans="2:20" ht="33.950000000000003" customHeight="1" x14ac:dyDescent="0.3"/>
    <row r="275" spans="2:20" ht="33.950000000000003" customHeight="1" x14ac:dyDescent="0.3"/>
    <row r="276" spans="2:20" ht="33.950000000000003" customHeight="1" x14ac:dyDescent="0.3"/>
    <row r="277" spans="2:20" ht="33.950000000000003" customHeight="1" x14ac:dyDescent="0.3"/>
    <row r="278" spans="2:20" ht="33.950000000000003" customHeight="1" x14ac:dyDescent="0.3"/>
    <row r="279" spans="2:20" ht="33.950000000000003" customHeight="1" x14ac:dyDescent="0.3"/>
    <row r="280" spans="2:20" ht="33.950000000000003" customHeight="1" x14ac:dyDescent="0.3"/>
    <row r="281" spans="2:20" ht="33.950000000000003" customHeight="1" x14ac:dyDescent="0.3">
      <c r="B281" s="5">
        <v>51000</v>
      </c>
      <c r="D281" s="5">
        <v>1525</v>
      </c>
      <c r="E281" s="5">
        <v>10600</v>
      </c>
      <c r="T281" s="5" t="s">
        <v>21</v>
      </c>
    </row>
    <row r="282" spans="2:20" ht="33.950000000000003" customHeight="1" x14ac:dyDescent="0.3"/>
    <row r="283" spans="2:20" ht="33.950000000000003" customHeight="1" x14ac:dyDescent="0.3"/>
    <row r="284" spans="2:20" ht="33.950000000000003" customHeight="1" x14ac:dyDescent="0.3"/>
    <row r="285" spans="2:20" ht="33.950000000000003" customHeight="1" x14ac:dyDescent="0.3"/>
    <row r="286" spans="2:20" ht="33.950000000000003" customHeight="1" x14ac:dyDescent="0.3"/>
    <row r="287" spans="2:20" ht="33.950000000000003" customHeight="1" x14ac:dyDescent="0.3"/>
    <row r="288" spans="2:20" ht="33.950000000000003" customHeight="1" x14ac:dyDescent="0.3"/>
    <row r="289" spans="1:20" ht="33.950000000000003" customHeight="1" x14ac:dyDescent="0.3"/>
    <row r="290" spans="1:20" ht="33.950000000000003" customHeight="1" x14ac:dyDescent="0.3"/>
    <row r="291" spans="1:20" ht="33.950000000000003" customHeight="1" x14ac:dyDescent="0.3">
      <c r="T291" s="5" t="s">
        <v>22</v>
      </c>
    </row>
    <row r="292" spans="1:20" ht="33.950000000000003" customHeight="1" x14ac:dyDescent="0.3">
      <c r="G292" s="35">
        <v>41462</v>
      </c>
      <c r="H292" s="35"/>
      <c r="I292" s="35"/>
      <c r="J292" s="35"/>
      <c r="K292" s="36"/>
      <c r="L292" s="36"/>
      <c r="M292" s="36"/>
      <c r="N292" s="36"/>
      <c r="O292" s="94"/>
      <c r="P292" s="95"/>
      <c r="Q292" s="94"/>
      <c r="R292" s="94"/>
      <c r="S292" s="35"/>
    </row>
    <row r="293" spans="1:20" ht="33.950000000000003" customHeight="1" x14ac:dyDescent="0.3"/>
    <row r="294" spans="1:20" ht="33.950000000000003" customHeight="1" x14ac:dyDescent="0.3"/>
    <row r="295" spans="1:20" ht="33.950000000000003" customHeight="1" x14ac:dyDescent="0.3"/>
    <row r="296" spans="1:20" ht="33.950000000000003" customHeight="1" x14ac:dyDescent="0.3"/>
    <row r="297" spans="1:20" ht="33.950000000000003" customHeight="1" x14ac:dyDescent="0.3">
      <c r="A297" s="33"/>
      <c r="B297" s="33">
        <v>0</v>
      </c>
      <c r="C297" s="33"/>
      <c r="D297" s="33">
        <v>0</v>
      </c>
      <c r="E297" s="33">
        <v>100000</v>
      </c>
      <c r="T297" s="5" t="s">
        <v>23</v>
      </c>
    </row>
    <row r="298" spans="1:20" ht="33.950000000000003" customHeight="1" x14ac:dyDescent="0.3"/>
    <row r="299" spans="1:20" ht="33.950000000000003" customHeight="1" x14ac:dyDescent="0.3"/>
    <row r="300" spans="1:20" ht="33.950000000000003" customHeight="1" x14ac:dyDescent="0.3">
      <c r="B300" s="37" t="e">
        <f>#REF!+B38+#REF!+#REF!+B51+#REF!+#REF!+#REF!+#REF!+B109+B112+B119+B121+B124+B128+B135+B137+B140+B144+B151+B153+B156+B160+B168+B172+B176+B179+B190+B195+B200+B204+B216+B221+B226+B231+B244+B250+B255+B260+B272+B279+B284+B289+B298</f>
        <v>#REF!</v>
      </c>
      <c r="C300" s="37"/>
      <c r="D300" s="37" t="e">
        <f>#REF!+D38+#REF!+#REF!+D51+#REF!+#REF!+#REF!+#REF!+D109+D112+D119+D121+D124+D128+D135+D137+D140+D144+D151+D153+D156+D160+D168+D172+D176+D179+D190+D195+D200+D204+D216+D221+D226+D231+D244+D250+D255+D260+D272+D279+D284+D289+D298</f>
        <v>#REF!</v>
      </c>
      <c r="E300" s="37" t="e">
        <f>#REF!+E38+#REF!+#REF!+E51+#REF!+#REF!+#REF!+#REF!+E109+E112+E119+E121+E124+E128+E135+E137+E140+E144+E151+E153+E156+E160+E168+E172+E176+E179+E190+E195+E200+E204+E216+E221+E226+E231+E244+E250+E255+E260+E272+E279+E284+E289+E298</f>
        <v>#REF!</v>
      </c>
      <c r="F300" s="37"/>
    </row>
  </sheetData>
  <mergeCells count="10">
    <mergeCell ref="J1:P1"/>
    <mergeCell ref="Q1:W1"/>
    <mergeCell ref="A2:A3"/>
    <mergeCell ref="B2:B3"/>
    <mergeCell ref="F2:G2"/>
    <mergeCell ref="J2:K2"/>
    <mergeCell ref="L2:M2"/>
    <mergeCell ref="Q2:R2"/>
    <mergeCell ref="S2:T2"/>
    <mergeCell ref="U2:V2"/>
  </mergeCells>
  <pageMargins left="0.7" right="0.7" top="0.75" bottom="0.75" header="0.3" footer="0.3"/>
  <pageSetup paperSize="9" scale="34" orientation="landscape" r:id="rId1"/>
  <headerFooter>
    <oddHeader>&amp;L&amp;"Arial,Bold"&amp;14NDAH'S FARM&amp;C&amp;"Arial,Bold"&amp;14NEW VISION POULTRY FARM
BOLIFAMBA, MILE 16, BUEA&amp;RAS AT: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Poultry</vt:lpstr>
      <vt:lpstr>current stock</vt:lpstr>
      <vt:lpstr>Turkeys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Ndah Simon Sameh</dc:creator>
  <cp:lastModifiedBy>MY HP</cp:lastModifiedBy>
  <cp:lastPrinted>2026-05-15T10:43:25Z</cp:lastPrinted>
  <dcterms:created xsi:type="dcterms:W3CDTF">2026-04-08T13:48:04Z</dcterms:created>
  <dcterms:modified xsi:type="dcterms:W3CDTF">2026-08-03T10:09:43Z</dcterms:modified>
</cp:coreProperties>
</file>